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dit File All\Church Auditor 2024 JC\"/>
    </mc:Choice>
  </mc:AlternateContent>
  <xr:revisionPtr revIDLastSave="0" documentId="13_ncr:1_{F3CE43AC-72A1-4E27-AEEE-7DB7925AD1B7}" xr6:coauthVersionLast="47" xr6:coauthVersionMax="47" xr10:uidLastSave="{00000000-0000-0000-0000-000000000000}"/>
  <bookViews>
    <workbookView xWindow="28680" yWindow="-120" windowWidth="29040" windowHeight="15720" tabRatio="757" xr2:uid="{00000000-000D-0000-FFFF-FFFF00000000}"/>
  </bookViews>
  <sheets>
    <sheet name="Rec.Data System-IN" sheetId="1" r:id="rId1"/>
    <sheet name="Rec. Data System-Out" sheetId="3" r:id="rId2"/>
    <sheet name="Rekap T&amp;O" sheetId="4" r:id="rId3"/>
    <sheet name="Detail Shedules" sheetId="6" r:id="rId4"/>
    <sheet name="Ringkasan" sheetId="7" r:id="rId5"/>
    <sheet name="Anjuran &amp; Masukan" sheetId="9" r:id="rId6"/>
  </sheets>
  <definedNames>
    <definedName name="_xlnm.Print_Area" localSheetId="5">'Anjuran &amp; Masukan'!$B$2:$C$36</definedName>
    <definedName name="_xlnm.Print_Area" localSheetId="3">'Detail Shedules'!$B$1:$I$54</definedName>
    <definedName name="_xlnm.Print_Area" localSheetId="1">'Rec. Data System-Out'!$A$2:$I$882</definedName>
    <definedName name="_xlnm.Print_Area" localSheetId="0">'Rec.Data System-IN'!$B$4:$W$38</definedName>
    <definedName name="_xlnm.Print_Area" localSheetId="2">'Rekap T&amp;O'!$B$2:$Q$25</definedName>
    <definedName name="_xlnm.Print_Area" localSheetId="4">Ringkasan!$B$2:$J$39</definedName>
  </definedNames>
  <calcPr calcId="191029"/>
</workbook>
</file>

<file path=xl/calcChain.xml><?xml version="1.0" encoding="utf-8"?>
<calcChain xmlns="http://schemas.openxmlformats.org/spreadsheetml/2006/main">
  <c r="B23" i="9" l="1"/>
  <c r="C23" i="6" l="1"/>
  <c r="B15" i="9" l="1"/>
  <c r="B18" i="9" s="1"/>
  <c r="B21" i="9" s="1"/>
  <c r="B25" i="9" s="1"/>
  <c r="E10" i="6"/>
  <c r="D10" i="6"/>
  <c r="F10" i="6"/>
  <c r="H10" i="6"/>
  <c r="C35" i="6"/>
  <c r="C45" i="6"/>
  <c r="F35" i="6"/>
  <c r="D35" i="6"/>
  <c r="C17" i="6" l="1"/>
  <c r="D7" i="7"/>
  <c r="W29" i="1"/>
  <c r="E33" i="6" s="1"/>
  <c r="G33" i="6" s="1"/>
  <c r="I33" i="6" s="1"/>
  <c r="V29" i="1"/>
  <c r="E32" i="6" s="1"/>
  <c r="G32" i="6" s="1"/>
  <c r="I32" i="6" s="1"/>
  <c r="U29" i="1"/>
  <c r="E31" i="6" s="1"/>
  <c r="G31" i="6" s="1"/>
  <c r="I31" i="6" s="1"/>
  <c r="T29" i="1"/>
  <c r="E30" i="6" s="1"/>
  <c r="G30" i="6" s="1"/>
  <c r="I30" i="6" s="1"/>
  <c r="S29" i="1"/>
  <c r="E29" i="6" s="1"/>
  <c r="G29" i="6" s="1"/>
  <c r="I29" i="6" s="1"/>
  <c r="R29" i="1"/>
  <c r="P29" i="1"/>
  <c r="E16" i="6" s="1"/>
  <c r="G16" i="6" s="1"/>
  <c r="O29" i="1"/>
  <c r="N29" i="1"/>
  <c r="C7" i="6" s="1"/>
  <c r="G7" i="6" s="1"/>
  <c r="I7" i="6" s="1"/>
  <c r="K29" i="1"/>
  <c r="L30" i="1"/>
  <c r="J30" i="1"/>
  <c r="I29" i="1"/>
  <c r="E24" i="4"/>
  <c r="C52" i="6"/>
  <c r="Q17" i="1"/>
  <c r="Q18" i="1"/>
  <c r="Q19" i="1"/>
  <c r="Q20" i="1"/>
  <c r="Q21" i="1"/>
  <c r="Q22" i="1"/>
  <c r="Q23" i="1"/>
  <c r="Q24" i="1"/>
  <c r="Q25" i="1"/>
  <c r="Q26" i="1"/>
  <c r="Q27" i="1"/>
  <c r="H811" i="3"/>
  <c r="H810" i="3"/>
  <c r="H809" i="3"/>
  <c r="H808" i="3"/>
  <c r="H806" i="3"/>
  <c r="H805" i="3"/>
  <c r="H734" i="3"/>
  <c r="H733" i="3"/>
  <c r="H732" i="3"/>
  <c r="H731" i="3"/>
  <c r="H729" i="3"/>
  <c r="H728" i="3"/>
  <c r="H657" i="3"/>
  <c r="H656" i="3"/>
  <c r="H655" i="3"/>
  <c r="H654" i="3"/>
  <c r="H652" i="3"/>
  <c r="H651" i="3"/>
  <c r="H581" i="3"/>
  <c r="H580" i="3"/>
  <c r="H579" i="3"/>
  <c r="H578" i="3"/>
  <c r="H576" i="3"/>
  <c r="H575" i="3"/>
  <c r="B4" i="6"/>
  <c r="B1" i="6"/>
  <c r="E15" i="6" l="1"/>
  <c r="G15" i="6" s="1"/>
  <c r="I15" i="6" s="1"/>
  <c r="C8" i="6"/>
  <c r="G8" i="6" s="1"/>
  <c r="I8" i="6" s="1"/>
  <c r="E28" i="6"/>
  <c r="G28" i="6" s="1"/>
  <c r="I28" i="6" s="1"/>
  <c r="E35" i="6"/>
  <c r="G35" i="6" s="1"/>
  <c r="I35" i="6" s="1"/>
  <c r="E14" i="6"/>
  <c r="G14" i="6" s="1"/>
  <c r="I14" i="6" s="1"/>
  <c r="Q33" i="1"/>
  <c r="G10" i="6"/>
  <c r="Q34" i="1"/>
  <c r="Q29" i="1"/>
  <c r="H510" i="3"/>
  <c r="H509" i="3"/>
  <c r="H508" i="3"/>
  <c r="H507" i="3"/>
  <c r="H505" i="3"/>
  <c r="I505" i="3" s="1"/>
  <c r="H504" i="3"/>
  <c r="I504" i="3" s="1"/>
  <c r="D8" i="7"/>
  <c r="H7" i="7"/>
  <c r="G7" i="7"/>
  <c r="F7" i="7"/>
  <c r="E7" i="7"/>
  <c r="H444" i="3"/>
  <c r="H443" i="3"/>
  <c r="H442" i="3"/>
  <c r="H441" i="3"/>
  <c r="H439" i="3"/>
  <c r="H438" i="3"/>
  <c r="I438" i="3" s="1"/>
  <c r="H371" i="3"/>
  <c r="H370" i="3"/>
  <c r="H369" i="3"/>
  <c r="H368" i="3"/>
  <c r="H366" i="3"/>
  <c r="I366" i="3" s="1"/>
  <c r="H365" i="3"/>
  <c r="I365" i="3" s="1"/>
  <c r="H306" i="3"/>
  <c r="H305" i="3"/>
  <c r="H304" i="3"/>
  <c r="H303" i="3"/>
  <c r="H301" i="3"/>
  <c r="H300" i="3"/>
  <c r="I300" i="3" s="1"/>
  <c r="H235" i="3"/>
  <c r="H234" i="3"/>
  <c r="H233" i="3"/>
  <c r="H232" i="3"/>
  <c r="H230" i="3"/>
  <c r="I230" i="3" s="1"/>
  <c r="H229" i="3"/>
  <c r="I229" i="3" s="1"/>
  <c r="H157" i="3"/>
  <c r="H156" i="3"/>
  <c r="H155" i="3"/>
  <c r="H154" i="3"/>
  <c r="H152" i="3"/>
  <c r="I152" i="3" s="1"/>
  <c r="H151" i="3"/>
  <c r="H91" i="3"/>
  <c r="H90" i="3"/>
  <c r="H89" i="3"/>
  <c r="H88" i="3"/>
  <c r="H86" i="3"/>
  <c r="I86" i="3" s="1"/>
  <c r="H85" i="3"/>
  <c r="I85" i="3" s="1"/>
  <c r="H877" i="3"/>
  <c r="H865" i="3"/>
  <c r="H860" i="3"/>
  <c r="H855" i="3"/>
  <c r="H850" i="3"/>
  <c r="H807" i="3"/>
  <c r="I806" i="3"/>
  <c r="I805" i="3"/>
  <c r="H788" i="3"/>
  <c r="H781" i="3"/>
  <c r="H776" i="3"/>
  <c r="H771" i="3"/>
  <c r="H766" i="3"/>
  <c r="H730" i="3"/>
  <c r="I729" i="3"/>
  <c r="I728" i="3"/>
  <c r="H711" i="3"/>
  <c r="H705" i="3"/>
  <c r="H700" i="3"/>
  <c r="H695" i="3"/>
  <c r="H690" i="3"/>
  <c r="H653" i="3"/>
  <c r="I652" i="3"/>
  <c r="I651" i="3"/>
  <c r="H634" i="3"/>
  <c r="H626" i="3"/>
  <c r="H621" i="3"/>
  <c r="H616" i="3"/>
  <c r="H611" i="3"/>
  <c r="H577" i="3"/>
  <c r="I576" i="3"/>
  <c r="I575" i="3"/>
  <c r="H558" i="3"/>
  <c r="H553" i="3"/>
  <c r="H548" i="3"/>
  <c r="H543" i="3"/>
  <c r="H538" i="3"/>
  <c r="H487" i="3"/>
  <c r="H482" i="3"/>
  <c r="H477" i="3"/>
  <c r="H472" i="3"/>
  <c r="H467" i="3"/>
  <c r="H421" i="3"/>
  <c r="H415" i="3"/>
  <c r="H410" i="3"/>
  <c r="H405" i="3"/>
  <c r="H400" i="3"/>
  <c r="H348" i="3"/>
  <c r="H343" i="3"/>
  <c r="H338" i="3"/>
  <c r="H333" i="3"/>
  <c r="H328" i="3"/>
  <c r="H283" i="3"/>
  <c r="H278" i="3"/>
  <c r="H273" i="3"/>
  <c r="H268" i="3"/>
  <c r="H263" i="3"/>
  <c r="H212" i="3"/>
  <c r="H207" i="3"/>
  <c r="H202" i="3"/>
  <c r="H197" i="3"/>
  <c r="H190" i="3"/>
  <c r="H134" i="3"/>
  <c r="H129" i="3"/>
  <c r="H124" i="3"/>
  <c r="H119" i="3"/>
  <c r="H114" i="3"/>
  <c r="H58" i="3"/>
  <c r="H68" i="3"/>
  <c r="H63" i="3"/>
  <c r="H53" i="3"/>
  <c r="H48" i="3"/>
  <c r="G9" i="4"/>
  <c r="G10" i="4"/>
  <c r="G11" i="4"/>
  <c r="G12" i="4"/>
  <c r="G13" i="4"/>
  <c r="G14" i="4"/>
  <c r="G15" i="4"/>
  <c r="G16" i="4"/>
  <c r="G17" i="4"/>
  <c r="G18" i="4"/>
  <c r="G8" i="4"/>
  <c r="F9" i="4"/>
  <c r="F10" i="4"/>
  <c r="F11" i="4"/>
  <c r="F12" i="4"/>
  <c r="F13" i="4"/>
  <c r="F14" i="4"/>
  <c r="F15" i="4"/>
  <c r="F16" i="4"/>
  <c r="F17" i="4"/>
  <c r="F18" i="4"/>
  <c r="F8" i="4"/>
  <c r="Q9" i="4"/>
  <c r="Q10" i="4"/>
  <c r="Q11" i="4"/>
  <c r="Q12" i="4"/>
  <c r="Q13" i="4"/>
  <c r="Q14" i="4"/>
  <c r="Q15" i="4"/>
  <c r="Q16" i="4"/>
  <c r="Q17" i="4"/>
  <c r="Q18" i="4"/>
  <c r="P9" i="4"/>
  <c r="P10" i="4"/>
  <c r="P11" i="4"/>
  <c r="P12" i="4"/>
  <c r="P13" i="4"/>
  <c r="P14" i="4"/>
  <c r="P15" i="4"/>
  <c r="P16" i="4"/>
  <c r="P17" i="4"/>
  <c r="P18" i="4"/>
  <c r="Q8" i="4"/>
  <c r="P8" i="4"/>
  <c r="Q7" i="4"/>
  <c r="P7" i="4"/>
  <c r="O7" i="4"/>
  <c r="N7" i="4"/>
  <c r="M7" i="4"/>
  <c r="L7" i="4"/>
  <c r="K7" i="4"/>
  <c r="J7" i="4"/>
  <c r="I7" i="4"/>
  <c r="H7" i="4"/>
  <c r="G7" i="4"/>
  <c r="F7" i="4"/>
  <c r="E7" i="4"/>
  <c r="C7" i="4"/>
  <c r="H30" i="3"/>
  <c r="I30" i="3" s="1"/>
  <c r="H29" i="3"/>
  <c r="I29" i="3" s="1"/>
  <c r="H28" i="3"/>
  <c r="I28" i="3" s="1"/>
  <c r="H27" i="3"/>
  <c r="I27" i="3" s="1"/>
  <c r="H25" i="3"/>
  <c r="I25" i="3" s="1"/>
  <c r="H24" i="3"/>
  <c r="I24" i="3" s="1"/>
  <c r="H28" i="7"/>
  <c r="H29" i="7"/>
  <c r="H30" i="7"/>
  <c r="H31" i="7"/>
  <c r="H32" i="7"/>
  <c r="H33" i="7"/>
  <c r="H34" i="7"/>
  <c r="H35" i="7"/>
  <c r="H36" i="7"/>
  <c r="H37" i="7"/>
  <c r="H38" i="7"/>
  <c r="F28" i="7"/>
  <c r="F29" i="7"/>
  <c r="F30" i="7"/>
  <c r="F31" i="7"/>
  <c r="F32" i="7"/>
  <c r="F33" i="7"/>
  <c r="F34" i="7"/>
  <c r="F35" i="7"/>
  <c r="F36" i="7"/>
  <c r="F37" i="7"/>
  <c r="F38" i="7"/>
  <c r="F27" i="7"/>
  <c r="E28" i="7"/>
  <c r="E29" i="7"/>
  <c r="E30" i="7"/>
  <c r="E31" i="7"/>
  <c r="E32" i="7"/>
  <c r="E33" i="7"/>
  <c r="G33" i="7" s="1"/>
  <c r="E34" i="7"/>
  <c r="E35" i="7"/>
  <c r="E36" i="7"/>
  <c r="E37" i="7"/>
  <c r="E38" i="7"/>
  <c r="E27" i="7"/>
  <c r="D28" i="7"/>
  <c r="D29" i="7"/>
  <c r="G29" i="7" s="1"/>
  <c r="D30" i="7"/>
  <c r="D31" i="7"/>
  <c r="D32" i="7"/>
  <c r="D33" i="7"/>
  <c r="D34" i="7"/>
  <c r="D35" i="7"/>
  <c r="D36" i="7"/>
  <c r="D37" i="7"/>
  <c r="G37" i="7" s="1"/>
  <c r="D38" i="7"/>
  <c r="D27" i="7"/>
  <c r="H8" i="7"/>
  <c r="H9" i="7"/>
  <c r="H10" i="7"/>
  <c r="H11" i="7"/>
  <c r="H12" i="7"/>
  <c r="H13" i="7"/>
  <c r="H14" i="7"/>
  <c r="H15" i="7"/>
  <c r="H16" i="7"/>
  <c r="H17" i="7"/>
  <c r="H18" i="7"/>
  <c r="G8" i="7"/>
  <c r="G9" i="7"/>
  <c r="G10" i="7"/>
  <c r="G11" i="7"/>
  <c r="G12" i="7"/>
  <c r="G13" i="7"/>
  <c r="G14" i="7"/>
  <c r="G15" i="7"/>
  <c r="G16" i="7"/>
  <c r="G17" i="7"/>
  <c r="G18" i="7"/>
  <c r="F8" i="7"/>
  <c r="F9" i="7"/>
  <c r="F10" i="7"/>
  <c r="F11" i="7"/>
  <c r="F12" i="7"/>
  <c r="F13" i="7"/>
  <c r="F14" i="7"/>
  <c r="F15" i="7"/>
  <c r="F16" i="7"/>
  <c r="F17" i="7"/>
  <c r="F18" i="7"/>
  <c r="E8" i="7"/>
  <c r="E9" i="7"/>
  <c r="E10" i="7"/>
  <c r="E11" i="7"/>
  <c r="E12" i="7"/>
  <c r="E13" i="7"/>
  <c r="E14" i="7"/>
  <c r="E15" i="7"/>
  <c r="E16" i="7"/>
  <c r="E17" i="7"/>
  <c r="E18" i="7"/>
  <c r="D9" i="7"/>
  <c r="D10" i="7"/>
  <c r="D11" i="7"/>
  <c r="D12" i="7"/>
  <c r="D13" i="7"/>
  <c r="D14" i="7"/>
  <c r="D15" i="7"/>
  <c r="D16" i="7"/>
  <c r="D17" i="7"/>
  <c r="D18" i="7"/>
  <c r="B16" i="3"/>
  <c r="C10" i="6" l="1"/>
  <c r="I10" i="6" s="1"/>
  <c r="G17" i="6"/>
  <c r="I17" i="6" s="1"/>
  <c r="E5" i="3"/>
  <c r="E6" i="3"/>
  <c r="E8" i="3"/>
  <c r="E9" i="3"/>
  <c r="E7" i="3"/>
  <c r="B720" i="3"/>
  <c r="E17" i="6"/>
  <c r="E39" i="6"/>
  <c r="G39" i="6" s="1"/>
  <c r="I39" i="6" s="1"/>
  <c r="E42" i="6"/>
  <c r="G42" i="6" s="1"/>
  <c r="I42" i="6" s="1"/>
  <c r="E40" i="6"/>
  <c r="G40" i="6" s="1"/>
  <c r="I40" i="6" s="1"/>
  <c r="E43" i="6"/>
  <c r="G43" i="6" s="1"/>
  <c r="I43" i="6" s="1"/>
  <c r="H879" i="3"/>
  <c r="I18" i="7" s="1"/>
  <c r="J18" i="7" s="1"/>
  <c r="E41" i="6"/>
  <c r="G41" i="6" s="1"/>
  <c r="I41" i="6" s="1"/>
  <c r="G31" i="7"/>
  <c r="I31" i="7" s="1"/>
  <c r="I33" i="7"/>
  <c r="G35" i="7"/>
  <c r="I35" i="7" s="1"/>
  <c r="H153" i="3"/>
  <c r="I58" i="3"/>
  <c r="F89" i="3" s="1"/>
  <c r="I89" i="3" s="1"/>
  <c r="I124" i="3" s="1"/>
  <c r="F155" i="3" s="1"/>
  <c r="I155" i="3" s="1"/>
  <c r="I202" i="3" s="1"/>
  <c r="F233" i="3" s="1"/>
  <c r="I233" i="3" s="1"/>
  <c r="I273" i="3" s="1"/>
  <c r="F304" i="3" s="1"/>
  <c r="I304" i="3" s="1"/>
  <c r="I338" i="3" s="1"/>
  <c r="F369" i="3" s="1"/>
  <c r="I369" i="3" s="1"/>
  <c r="I410" i="3" s="1"/>
  <c r="F442" i="3" s="1"/>
  <c r="I442" i="3" s="1"/>
  <c r="I477" i="3" s="1"/>
  <c r="F508" i="3" s="1"/>
  <c r="I508" i="3" s="1"/>
  <c r="I548" i="3" s="1"/>
  <c r="F579" i="3" s="1"/>
  <c r="I579" i="3" s="1"/>
  <c r="I621" i="3" s="1"/>
  <c r="F655" i="3" s="1"/>
  <c r="I655" i="3" s="1"/>
  <c r="I700" i="3" s="1"/>
  <c r="F732" i="3" s="1"/>
  <c r="I732" i="3" s="1"/>
  <c r="I776" i="3" s="1"/>
  <c r="F809" i="3" s="1"/>
  <c r="I809" i="3" s="1"/>
  <c r="I860" i="3" s="1"/>
  <c r="H302" i="3"/>
  <c r="I301" i="3"/>
  <c r="H506" i="3"/>
  <c r="I151" i="3"/>
  <c r="H231" i="3"/>
  <c r="I53" i="3"/>
  <c r="F88" i="3" s="1"/>
  <c r="I88" i="3" s="1"/>
  <c r="I119" i="3" s="1"/>
  <c r="F154" i="3" s="1"/>
  <c r="I154" i="3" s="1"/>
  <c r="I197" i="3" s="1"/>
  <c r="F232" i="3" s="1"/>
  <c r="I232" i="3" s="1"/>
  <c r="I268" i="3" s="1"/>
  <c r="F303" i="3" s="1"/>
  <c r="I303" i="3" s="1"/>
  <c r="I333" i="3" s="1"/>
  <c r="F368" i="3" s="1"/>
  <c r="I368" i="3" s="1"/>
  <c r="I405" i="3" s="1"/>
  <c r="F441" i="3" s="1"/>
  <c r="I441" i="3" s="1"/>
  <c r="I472" i="3" s="1"/>
  <c r="F507" i="3" s="1"/>
  <c r="I507" i="3" s="1"/>
  <c r="I543" i="3" s="1"/>
  <c r="F578" i="3" s="1"/>
  <c r="I578" i="3" s="1"/>
  <c r="I616" i="3" s="1"/>
  <c r="F654" i="3" s="1"/>
  <c r="I654" i="3" s="1"/>
  <c r="I695" i="3" s="1"/>
  <c r="F731" i="3" s="1"/>
  <c r="I731" i="3" s="1"/>
  <c r="I771" i="3" s="1"/>
  <c r="F808" i="3" s="1"/>
  <c r="I808" i="3" s="1"/>
  <c r="I855" i="3" s="1"/>
  <c r="I68" i="3"/>
  <c r="F91" i="3" s="1"/>
  <c r="I91" i="3" s="1"/>
  <c r="I134" i="3" s="1"/>
  <c r="F157" i="3" s="1"/>
  <c r="I157" i="3" s="1"/>
  <c r="I212" i="3" s="1"/>
  <c r="F235" i="3" s="1"/>
  <c r="I235" i="3" s="1"/>
  <c r="I283" i="3" s="1"/>
  <c r="F306" i="3" s="1"/>
  <c r="I306" i="3" s="1"/>
  <c r="I348" i="3" s="1"/>
  <c r="F371" i="3" s="1"/>
  <c r="I371" i="3" s="1"/>
  <c r="I421" i="3" s="1"/>
  <c r="F444" i="3" s="1"/>
  <c r="I444" i="3" s="1"/>
  <c r="I487" i="3" s="1"/>
  <c r="F510" i="3" s="1"/>
  <c r="I510" i="3" s="1"/>
  <c r="I558" i="3" s="1"/>
  <c r="F581" i="3" s="1"/>
  <c r="I581" i="3" s="1"/>
  <c r="I634" i="3" s="1"/>
  <c r="F657" i="3" s="1"/>
  <c r="I657" i="3" s="1"/>
  <c r="I711" i="3" s="1"/>
  <c r="F734" i="3" s="1"/>
  <c r="I734" i="3" s="1"/>
  <c r="I788" i="3" s="1"/>
  <c r="F811" i="3" s="1"/>
  <c r="I811" i="3" s="1"/>
  <c r="I877" i="3" s="1"/>
  <c r="I63" i="3"/>
  <c r="F90" i="3" s="1"/>
  <c r="I90" i="3" s="1"/>
  <c r="I129" i="3" s="1"/>
  <c r="F156" i="3" s="1"/>
  <c r="I156" i="3" s="1"/>
  <c r="I207" i="3" s="1"/>
  <c r="F234" i="3" s="1"/>
  <c r="I234" i="3" s="1"/>
  <c r="I278" i="3" s="1"/>
  <c r="F305" i="3" s="1"/>
  <c r="I305" i="3" s="1"/>
  <c r="I343" i="3" s="1"/>
  <c r="F370" i="3" s="1"/>
  <c r="I370" i="3" s="1"/>
  <c r="I415" i="3" s="1"/>
  <c r="F443" i="3" s="1"/>
  <c r="I443" i="3" s="1"/>
  <c r="I482" i="3" s="1"/>
  <c r="F509" i="3" s="1"/>
  <c r="I509" i="3" s="1"/>
  <c r="I553" i="3" s="1"/>
  <c r="F580" i="3" s="1"/>
  <c r="I580" i="3" s="1"/>
  <c r="I626" i="3" s="1"/>
  <c r="F656" i="3" s="1"/>
  <c r="I656" i="3" s="1"/>
  <c r="I705" i="3" s="1"/>
  <c r="F733" i="3" s="1"/>
  <c r="I733" i="3" s="1"/>
  <c r="I781" i="3" s="1"/>
  <c r="F810" i="3" s="1"/>
  <c r="I810" i="3" s="1"/>
  <c r="I865" i="3" s="1"/>
  <c r="H19" i="7"/>
  <c r="Q19" i="4"/>
  <c r="E22" i="6" s="1"/>
  <c r="G22" i="6" s="1"/>
  <c r="I22" i="6" s="1"/>
  <c r="H214" i="3"/>
  <c r="I9" i="7" s="1"/>
  <c r="J9" i="7" s="1"/>
  <c r="H440" i="3"/>
  <c r="H136" i="3"/>
  <c r="I8" i="7" s="1"/>
  <c r="J8" i="7" s="1"/>
  <c r="B221" i="3"/>
  <c r="B430" i="3"/>
  <c r="B292" i="3"/>
  <c r="H790" i="3"/>
  <c r="I17" i="7" s="1"/>
  <c r="J17" i="7" s="1"/>
  <c r="B797" i="3"/>
  <c r="H70" i="3"/>
  <c r="B357" i="3"/>
  <c r="B496" i="3"/>
  <c r="G38" i="7"/>
  <c r="I38" i="7" s="1"/>
  <c r="G30" i="7"/>
  <c r="I30" i="7" s="1"/>
  <c r="G34" i="7"/>
  <c r="I34" i="7" s="1"/>
  <c r="H350" i="3"/>
  <c r="I11" i="7" s="1"/>
  <c r="J11" i="7" s="1"/>
  <c r="H560" i="3"/>
  <c r="I14" i="7" s="1"/>
  <c r="J14" i="7" s="1"/>
  <c r="B567" i="3"/>
  <c r="H489" i="3"/>
  <c r="I13" i="7" s="1"/>
  <c r="J13" i="7" s="1"/>
  <c r="I37" i="7"/>
  <c r="I29" i="7"/>
  <c r="H636" i="3"/>
  <c r="I15" i="7" s="1"/>
  <c r="J15" i="7" s="1"/>
  <c r="B77" i="3"/>
  <c r="B643" i="3"/>
  <c r="P19" i="4"/>
  <c r="E21" i="6" s="1"/>
  <c r="G36" i="7"/>
  <c r="I36" i="7" s="1"/>
  <c r="G28" i="7"/>
  <c r="I28" i="7" s="1"/>
  <c r="G32" i="7"/>
  <c r="I32" i="7" s="1"/>
  <c r="H713" i="3"/>
  <c r="I16" i="7" s="1"/>
  <c r="J16" i="7" s="1"/>
  <c r="B143" i="3"/>
  <c r="H423" i="3"/>
  <c r="I12" i="7" s="1"/>
  <c r="J12" i="7" s="1"/>
  <c r="H285" i="3"/>
  <c r="I10" i="7" s="1"/>
  <c r="J10" i="7" s="1"/>
  <c r="G27" i="7"/>
  <c r="I439" i="3"/>
  <c r="H367" i="3"/>
  <c r="H87" i="3"/>
  <c r="H26" i="3"/>
  <c r="I26" i="3" s="1"/>
  <c r="I48" i="3" s="1"/>
  <c r="F87" i="3" s="1"/>
  <c r="G21" i="6" l="1"/>
  <c r="E23" i="6"/>
  <c r="H5" i="3"/>
  <c r="G39" i="7"/>
  <c r="E45" i="6"/>
  <c r="G45" i="6" s="1"/>
  <c r="I45" i="6" s="1"/>
  <c r="I7" i="7"/>
  <c r="J7" i="7" s="1"/>
  <c r="G52" i="6"/>
  <c r="I87" i="3"/>
  <c r="I93" i="3" s="1"/>
  <c r="I138" i="3" s="1"/>
  <c r="I32" i="3"/>
  <c r="I72" i="3" s="1"/>
  <c r="G23" i="6" l="1"/>
  <c r="I23" i="6" s="1"/>
  <c r="I21" i="6"/>
  <c r="I19" i="7"/>
  <c r="I114" i="3"/>
  <c r="F153" i="3" s="1"/>
  <c r="J9" i="4"/>
  <c r="J10" i="4"/>
  <c r="J11" i="4"/>
  <c r="J12" i="4"/>
  <c r="J13" i="4"/>
  <c r="J14" i="4"/>
  <c r="J15" i="4"/>
  <c r="J16" i="4"/>
  <c r="J17" i="4"/>
  <c r="J18" i="4"/>
  <c r="K9" i="4"/>
  <c r="K10" i="4"/>
  <c r="K11" i="4"/>
  <c r="K12" i="4"/>
  <c r="K13" i="4"/>
  <c r="K14" i="4"/>
  <c r="K15" i="4"/>
  <c r="K16" i="4"/>
  <c r="K17" i="4"/>
  <c r="K18" i="4"/>
  <c r="L9" i="4"/>
  <c r="L10" i="4"/>
  <c r="L11" i="4"/>
  <c r="L12" i="4"/>
  <c r="L13" i="4"/>
  <c r="L14" i="4"/>
  <c r="L15" i="4"/>
  <c r="L16" i="4"/>
  <c r="L17" i="4"/>
  <c r="L18" i="4"/>
  <c r="M9" i="4"/>
  <c r="M10" i="4"/>
  <c r="M11" i="4"/>
  <c r="M12" i="4"/>
  <c r="M13" i="4"/>
  <c r="M14" i="4"/>
  <c r="M15" i="4"/>
  <c r="M16" i="4"/>
  <c r="M17" i="4"/>
  <c r="M18" i="4"/>
  <c r="N9" i="4"/>
  <c r="N10" i="4"/>
  <c r="N11" i="4"/>
  <c r="N12" i="4"/>
  <c r="N13" i="4"/>
  <c r="N14" i="4"/>
  <c r="N15" i="4"/>
  <c r="N16" i="4"/>
  <c r="N17" i="4"/>
  <c r="N18" i="4"/>
  <c r="O9" i="4"/>
  <c r="O10" i="4"/>
  <c r="O11" i="4"/>
  <c r="O12" i="4"/>
  <c r="O13" i="4"/>
  <c r="O14" i="4"/>
  <c r="O15" i="4"/>
  <c r="O16" i="4"/>
  <c r="O17" i="4"/>
  <c r="O18" i="4"/>
  <c r="O8" i="4"/>
  <c r="N8" i="4"/>
  <c r="M8" i="4"/>
  <c r="L8" i="4"/>
  <c r="K8" i="4"/>
  <c r="J8" i="4"/>
  <c r="I9" i="4"/>
  <c r="I10" i="4"/>
  <c r="I11" i="4"/>
  <c r="I12" i="4"/>
  <c r="I13" i="4"/>
  <c r="I14" i="4"/>
  <c r="I15" i="4"/>
  <c r="I16" i="4"/>
  <c r="I17" i="4"/>
  <c r="I18" i="4"/>
  <c r="H9" i="4"/>
  <c r="H10" i="4"/>
  <c r="H11" i="4"/>
  <c r="H12" i="4"/>
  <c r="H13" i="4"/>
  <c r="H14" i="4"/>
  <c r="H15" i="4"/>
  <c r="H16" i="4"/>
  <c r="H17" i="4"/>
  <c r="H18" i="4"/>
  <c r="E23" i="4"/>
  <c r="E22" i="4"/>
  <c r="E21" i="4"/>
  <c r="I8" i="4"/>
  <c r="H8" i="4"/>
  <c r="E9" i="4"/>
  <c r="E10" i="4"/>
  <c r="E11" i="4"/>
  <c r="E12" i="4"/>
  <c r="E13" i="4"/>
  <c r="E14" i="4"/>
  <c r="E15" i="4"/>
  <c r="E16" i="4"/>
  <c r="E17" i="4"/>
  <c r="E18" i="4"/>
  <c r="C12" i="4"/>
  <c r="C13" i="4"/>
  <c r="C14" i="4"/>
  <c r="C15" i="4"/>
  <c r="C16" i="4"/>
  <c r="C17" i="4"/>
  <c r="C18" i="4"/>
  <c r="C9" i="4"/>
  <c r="C10" i="4"/>
  <c r="C11" i="4"/>
  <c r="E8" i="4"/>
  <c r="C8" i="4"/>
  <c r="G51" i="6"/>
  <c r="G50" i="6"/>
  <c r="Q16" i="1"/>
  <c r="Q28" i="1" s="1"/>
  <c r="H17" i="1"/>
  <c r="H18" i="1"/>
  <c r="H19" i="1"/>
  <c r="H20" i="1"/>
  <c r="H21" i="1"/>
  <c r="H22" i="1"/>
  <c r="H23" i="1"/>
  <c r="H24" i="1"/>
  <c r="H25" i="1"/>
  <c r="H26" i="1"/>
  <c r="H27" i="1"/>
  <c r="H16" i="1"/>
  <c r="I153" i="3" l="1"/>
  <c r="I190" i="3" s="1"/>
  <c r="F231" i="3" s="1"/>
  <c r="I231" i="3" s="1"/>
  <c r="I263" i="3" s="1"/>
  <c r="F302" i="3" s="1"/>
  <c r="I302" i="3" s="1"/>
  <c r="H29" i="1"/>
  <c r="E50" i="6"/>
  <c r="I50" i="6" s="1"/>
  <c r="H27" i="7"/>
  <c r="I27" i="7" s="1"/>
  <c r="I39" i="7" s="1"/>
  <c r="N19" i="4"/>
  <c r="O19" i="4"/>
  <c r="I237" i="3" l="1"/>
  <c r="I287" i="3" s="1"/>
  <c r="I159" i="3"/>
  <c r="I216" i="3" s="1"/>
  <c r="H39" i="7"/>
  <c r="I328" i="3"/>
  <c r="F367" i="3" s="1"/>
  <c r="I308" i="3"/>
  <c r="I352" i="3" s="1"/>
  <c r="I367" i="3" l="1"/>
  <c r="I400" i="3" s="1"/>
  <c r="F440" i="3" s="1"/>
  <c r="I440" i="3" s="1"/>
  <c r="M29" i="1"/>
  <c r="I373" i="3" l="1"/>
  <c r="I425" i="3" s="1"/>
  <c r="Q35" i="1"/>
  <c r="Q36" i="1" s="1"/>
  <c r="Q30" i="1"/>
  <c r="I467" i="3"/>
  <c r="F506" i="3" s="1"/>
  <c r="I446" i="3"/>
  <c r="I491" i="3" s="1"/>
  <c r="D39" i="7"/>
  <c r="M19" i="4"/>
  <c r="I19" i="4"/>
  <c r="J19" i="4"/>
  <c r="G19" i="4"/>
  <c r="K19" i="4"/>
  <c r="L19" i="4"/>
  <c r="I506" i="3" l="1"/>
  <c r="I538" i="3" s="1"/>
  <c r="F577" i="3" s="1"/>
  <c r="I577" i="3" s="1"/>
  <c r="E51" i="6"/>
  <c r="I51" i="6" s="1"/>
  <c r="E52" i="6"/>
  <c r="I52" i="6" s="1"/>
  <c r="F19" i="7"/>
  <c r="J19" i="7"/>
  <c r="D19" i="7"/>
  <c r="F39" i="7"/>
  <c r="G19" i="7"/>
  <c r="E19" i="7"/>
  <c r="H19" i="4"/>
  <c r="I512" i="3" l="1"/>
  <c r="I562" i="3" s="1"/>
  <c r="I611" i="3"/>
  <c r="F653" i="3" s="1"/>
  <c r="I653" i="3" s="1"/>
  <c r="I583" i="3"/>
  <c r="I638" i="3" s="1"/>
  <c r="E39" i="7"/>
  <c r="I690" i="3" l="1"/>
  <c r="F730" i="3" s="1"/>
  <c r="I730" i="3" s="1"/>
  <c r="I659" i="3"/>
  <c r="I715" i="3" s="1"/>
  <c r="I54" i="6"/>
  <c r="I766" i="3" l="1"/>
  <c r="F807" i="3" s="1"/>
  <c r="I736" i="3"/>
  <c r="I792" i="3" s="1"/>
  <c r="I807" i="3" l="1"/>
  <c r="I850" i="3" s="1"/>
  <c r="I813" i="3" l="1"/>
  <c r="I881" i="3" s="1"/>
</calcChain>
</file>

<file path=xl/sharedStrings.xml><?xml version="1.0" encoding="utf-8"?>
<sst xmlns="http://schemas.openxmlformats.org/spreadsheetml/2006/main" count="1708" uniqueCount="880">
  <si>
    <t>Bulan</t>
  </si>
  <si>
    <t>No</t>
  </si>
  <si>
    <t>No. Kwitansi</t>
  </si>
  <si>
    <t>DANA MISSION SEDUNIA</t>
  </si>
  <si>
    <t>Perpuluhan</t>
  </si>
  <si>
    <t>Unit X</t>
  </si>
  <si>
    <t>50% Terpadu Konfrens</t>
  </si>
  <si>
    <t>Unit PT</t>
  </si>
  <si>
    <t>DANA JEMAAT</t>
  </si>
  <si>
    <t>50% Terpadu Jemaat</t>
  </si>
  <si>
    <t>TOTAL</t>
  </si>
  <si>
    <t>Persembahan Khusus</t>
  </si>
  <si>
    <t>Transfer ke Konferens DKI</t>
  </si>
  <si>
    <t>LAPORAN KEUANGAN</t>
  </si>
  <si>
    <t>Jl. Dr Saharjo 48 Jakarta Selatan</t>
  </si>
  <si>
    <t>Telp : 021 - 8370 6855 - 856, 829 2976, Fax 021 - 829 4278</t>
  </si>
  <si>
    <t>Penataran / Seminar</t>
  </si>
  <si>
    <t>Total</t>
  </si>
  <si>
    <t>Unit Pemberi</t>
  </si>
  <si>
    <t>Jumlah Perpuluhan / Persembahan</t>
  </si>
  <si>
    <t>Nama Jemaat :</t>
  </si>
  <si>
    <t>OPERATING INCOME AND OPERATING EXPENSE</t>
  </si>
  <si>
    <t>Operating Income :</t>
  </si>
  <si>
    <t>Terpadu</t>
  </si>
  <si>
    <t>Khusus Jemaat 100%</t>
  </si>
  <si>
    <t>Total Operating Income</t>
  </si>
  <si>
    <t xml:space="preserve">Operating Expense : </t>
  </si>
  <si>
    <t>Total Operating Expense</t>
  </si>
  <si>
    <t>Total Net Operating Gain/Loss</t>
  </si>
  <si>
    <t>ü</t>
  </si>
  <si>
    <t>û</t>
  </si>
  <si>
    <t>REKAPITULASI KEUANGAN GEREJA - GEREJA</t>
  </si>
  <si>
    <t>X / T</t>
  </si>
  <si>
    <t>X (Perpul)</t>
  </si>
  <si>
    <t>Pembangunan</t>
  </si>
  <si>
    <t>Gereja</t>
  </si>
  <si>
    <t>Gembala</t>
  </si>
  <si>
    <t>Bendahara</t>
  </si>
  <si>
    <t>DETAIL SHEDULES</t>
  </si>
  <si>
    <t xml:space="preserve">Balance </t>
  </si>
  <si>
    <t>Balance</t>
  </si>
  <si>
    <t>Trust Funds :</t>
  </si>
  <si>
    <t>Received</t>
  </si>
  <si>
    <t>Remitted</t>
  </si>
  <si>
    <t>Tithe</t>
  </si>
  <si>
    <t>Total Trust Funds</t>
  </si>
  <si>
    <t>s/d</t>
  </si>
  <si>
    <t>Ketua Jemaat</t>
  </si>
  <si>
    <t>Sekertaris Jemaat</t>
  </si>
  <si>
    <t>Bendahara Jemaat</t>
  </si>
  <si>
    <t>Departement Anak Anak</t>
  </si>
  <si>
    <t>Departement BWA &amp; Shepherdes</t>
  </si>
  <si>
    <t>Departement Penatalayanan</t>
  </si>
  <si>
    <t>Departement Dorkas</t>
  </si>
  <si>
    <t>Departement Pendidikan</t>
  </si>
  <si>
    <t>Departement Rumah Tangga</t>
  </si>
  <si>
    <t>Departement Komunikasi</t>
  </si>
  <si>
    <t>Departement Kesehatan</t>
  </si>
  <si>
    <t>Perkemahan Anak-Anak &amp; Pemuda</t>
  </si>
  <si>
    <t>Legal &amp; Pajak</t>
  </si>
  <si>
    <t>Ucapan Syukur dan Hari lahir</t>
  </si>
  <si>
    <t>Duka Cita / Krans Bunga</t>
  </si>
  <si>
    <t>Terpadu 50% &amp; Khusus Konferens</t>
  </si>
  <si>
    <t>Dana Jemaat</t>
  </si>
  <si>
    <t xml:space="preserve">Transportasi / Travel </t>
  </si>
  <si>
    <t>Keterangan</t>
  </si>
  <si>
    <t>Januari</t>
  </si>
  <si>
    <t>Februari</t>
  </si>
  <si>
    <t>Maret</t>
  </si>
  <si>
    <t xml:space="preserve">April </t>
  </si>
  <si>
    <t>Mei</t>
  </si>
  <si>
    <t>June</t>
  </si>
  <si>
    <t xml:space="preserve">Juli </t>
  </si>
  <si>
    <t>Agustus</t>
  </si>
  <si>
    <t>September</t>
  </si>
  <si>
    <t>Oktober</t>
  </si>
  <si>
    <t>November</t>
  </si>
  <si>
    <t>Desember</t>
  </si>
  <si>
    <t>Penerimaan Dana Jemaat</t>
  </si>
  <si>
    <t>Pengeluaran</t>
  </si>
  <si>
    <t>Saldo Akhir</t>
  </si>
  <si>
    <t>Dana Operasional</t>
  </si>
  <si>
    <t>Dana Pendidikan</t>
  </si>
  <si>
    <t>Dana Pembangunan</t>
  </si>
  <si>
    <t>TOTAL Dana Jemaat</t>
  </si>
  <si>
    <t>Dana Konferens</t>
  </si>
  <si>
    <t>Total Dana</t>
  </si>
  <si>
    <t>Transfer ke Konf</t>
  </si>
  <si>
    <t>Terpadu ( 50%  )</t>
  </si>
  <si>
    <t>Dana Khusus Konf</t>
  </si>
  <si>
    <t>AUDIT REPORT</t>
  </si>
  <si>
    <t>Anjuran dan Masukan untuk dapat di Jalankan Bendahara Jemaat</t>
  </si>
  <si>
    <t>Dianjurkan kepada Anggota Jemaat untuk melaksanakan Persembahan Terpadu Untuk membantu Operasional  Jemaat.</t>
  </si>
  <si>
    <t>Konferens DKI Jakarta tanggal 10 pada Bulan Berikutnya sampai di kantor Konferens. Kecuali Desember, Transfer Paling lambat Tanggal 31</t>
  </si>
  <si>
    <t>Hotland F Pasaribu, Church Auditor</t>
  </si>
  <si>
    <t xml:space="preserve">Januari </t>
  </si>
  <si>
    <t>April</t>
  </si>
  <si>
    <t>Juni</t>
  </si>
  <si>
    <t>Awal</t>
  </si>
  <si>
    <t>TGL</t>
  </si>
  <si>
    <t>Total Konferens</t>
  </si>
  <si>
    <t>611100 ( Tithe )</t>
  </si>
  <si>
    <t>634110 (One Off)</t>
  </si>
  <si>
    <t xml:space="preserve">Persembahan Khusus </t>
  </si>
  <si>
    <t>Penginjilan</t>
  </si>
  <si>
    <t>Pendidikan</t>
  </si>
  <si>
    <t>Lain - Lain</t>
  </si>
  <si>
    <t>Akhir</t>
  </si>
  <si>
    <t>Terpadu Konf</t>
  </si>
  <si>
    <t>Khusus Konf</t>
  </si>
  <si>
    <t>Terpadu Jemaat</t>
  </si>
  <si>
    <t>Khusus Jemaat</t>
  </si>
  <si>
    <t>Tahun :</t>
  </si>
  <si>
    <t>Sumber Kas</t>
  </si>
  <si>
    <t>Departemen</t>
  </si>
  <si>
    <t>Saldo Awal</t>
  </si>
  <si>
    <t xml:space="preserve">Penerimaan </t>
  </si>
  <si>
    <t>Depart  Pel. Perorangan</t>
  </si>
  <si>
    <t>Diakones</t>
  </si>
  <si>
    <t xml:space="preserve">Diakon </t>
  </si>
  <si>
    <t>Perlawatan, Pel. Sosial &amp; Charity</t>
  </si>
  <si>
    <t xml:space="preserve">Buku SS Dewasa </t>
  </si>
  <si>
    <t>Buku SS Anak - Anak / Remaja</t>
  </si>
  <si>
    <t>Buku  WGA</t>
  </si>
  <si>
    <t>Kebaktian Kebangunan Rohani ( KKR )</t>
  </si>
  <si>
    <t>KPA (Kel. Kecil) &amp; Pemeliharaan</t>
  </si>
  <si>
    <t>Air Minum &amp; PDAM</t>
  </si>
  <si>
    <t>Listrik ( Token )</t>
  </si>
  <si>
    <t>Telepon &amp; Internet ( Zoom Paket )</t>
  </si>
  <si>
    <t>Transportasi / Travel Gembala</t>
  </si>
  <si>
    <t>Departement Pemuda ( PA )</t>
  </si>
  <si>
    <t>Pathfinder</t>
  </si>
  <si>
    <t>Jaga Malam &amp; Parkir</t>
  </si>
  <si>
    <t>Departement NDR/Pel. Masarakat</t>
  </si>
  <si>
    <t xml:space="preserve">Depart Sekolah Sabat </t>
  </si>
  <si>
    <t>Operational</t>
  </si>
  <si>
    <t>Dana Penginjilan</t>
  </si>
  <si>
    <t>Dana Lain - Lain</t>
  </si>
  <si>
    <t>CR No.</t>
  </si>
  <si>
    <t>Pengeluaran Dana Operasional</t>
  </si>
  <si>
    <t>Pengeluaran Dana Penginjilan</t>
  </si>
  <si>
    <t>Pengeluaran Dana Pembangunan</t>
  </si>
  <si>
    <t>Pengeluaran Dana Pendidikan</t>
  </si>
  <si>
    <t>Dana Lain-Lain</t>
  </si>
  <si>
    <t>Pengeluaran Dana Lain Lain</t>
  </si>
  <si>
    <t>No Transaksi</t>
  </si>
  <si>
    <t>678110(Miscell)</t>
  </si>
  <si>
    <t>No HP/TLP</t>
  </si>
  <si>
    <t xml:space="preserve">Gembala </t>
  </si>
  <si>
    <t xml:space="preserve">Bendahara </t>
  </si>
  <si>
    <t xml:space="preserve">Wilayah    </t>
  </si>
  <si>
    <t>Wilayah</t>
  </si>
  <si>
    <t>Kami Ucapkan Trimakasih kepada Bendahara Jemaat atas mengirimkan / Transfer ke Konferens sesuai dengan Laporan Keuangan Jemaat (Balance)</t>
  </si>
  <si>
    <t>Persembahan Terpadu  Rp.  0</t>
  </si>
  <si>
    <t>Khusus Konferens         Rp.  0</t>
  </si>
  <si>
    <t>Kami Ucapkan Trimakasih atas Laporan Pengeluaran Jemaat komplit di ikutsertakan dalam Pengiriman Laporan Keuangan Jemaat.</t>
  </si>
  <si>
    <t>Kami Ucapkan Trimakasih untuk Bendahara Jemaat sudah menggunakan WEB- System www.jlctreasury.com dalam membuat Laporan Keuangan Jemaat.</t>
  </si>
  <si>
    <t>Increment Tithe &amp; Offering :</t>
  </si>
  <si>
    <t>In(De)crease</t>
  </si>
  <si>
    <t>Percentage</t>
  </si>
  <si>
    <t>Terpadu 50%</t>
  </si>
  <si>
    <t>Khusus Konferens</t>
  </si>
  <si>
    <t>Total Increment Tithe &amp; Offering</t>
  </si>
  <si>
    <t>Pengeluaran Dana Jemaat</t>
  </si>
  <si>
    <t>Perbandingan Penerimaan Dana Jemaat:</t>
  </si>
  <si>
    <t>Perbandingan Pengeluaran Dana Jemaat :</t>
  </si>
  <si>
    <t>Dana Lain Lain</t>
  </si>
  <si>
    <t>Dana - Penginjilan</t>
  </si>
  <si>
    <t>Dana - Pembangunan</t>
  </si>
  <si>
    <t>Dana - Pendidikan</t>
  </si>
  <si>
    <t>Total Budget vs Tithe &amp; Offering</t>
  </si>
  <si>
    <t>Comparison of Budget VS Tithe &amp; Offering</t>
  </si>
  <si>
    <t>GMAHK KONFERENS JAKARTA &amp; SEKITARNYA</t>
  </si>
  <si>
    <t>GMAHK KONFERENS JAKARTA DAN SEKITARNYA</t>
  </si>
  <si>
    <t>GMAHK Konferens Jakarta &amp; Sekitarnya</t>
  </si>
  <si>
    <t>TOTAL EXPENSE</t>
  </si>
  <si>
    <t>PERIOD:</t>
  </si>
  <si>
    <t>FROM</t>
  </si>
  <si>
    <t>TO</t>
  </si>
  <si>
    <t>Dana - Lain-lain</t>
  </si>
  <si>
    <t>ITEMS</t>
  </si>
  <si>
    <t>JANUARY</t>
  </si>
  <si>
    <r>
      <t xml:space="preserve">OPERATING </t>
    </r>
    <r>
      <rPr>
        <b/>
        <sz val="15"/>
        <color rgb="FFFAF3E8"/>
        <rFont val="Oswald"/>
      </rPr>
      <t>INCOME AND OPERATING EXPENSE</t>
    </r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</si>
  <si>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</si>
  <si>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</si>
  <si>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</si>
  <si>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</si>
  <si>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</si>
  <si>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</si>
  <si>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</si>
  <si>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</si>
  <si>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</si>
  <si>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</si>
  <si>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</si>
  <si>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Perpuluhan                    Rp.  0</t>
  </si>
  <si>
    <t>TOTAL Dana Konfrens</t>
  </si>
  <si>
    <t>Dana - Operasional</t>
  </si>
  <si>
    <t>TAHUN 2024</t>
  </si>
  <si>
    <t>Actual 2024</t>
  </si>
  <si>
    <t>Budget 2024</t>
  </si>
  <si>
    <t>Jan 1, 2024</t>
  </si>
  <si>
    <t>Dec 31, 2024</t>
  </si>
  <si>
    <t>Total Increment Giving unit</t>
  </si>
  <si>
    <t>Increment Giving Unit :</t>
  </si>
  <si>
    <t>LAPORAN KAS JEMAAT 2024</t>
  </si>
  <si>
    <t>LAPORAN DANA KONFERENS 2024</t>
  </si>
  <si>
    <t>Actual 2023</t>
  </si>
  <si>
    <t>KIWI</t>
  </si>
  <si>
    <t>Pdt.Hasiholan Sihombing (Pdt.Falmer Sagala)</t>
  </si>
  <si>
    <t>Sari Samosir</t>
  </si>
  <si>
    <t>VII</t>
  </si>
  <si>
    <t>0813 7147 0915</t>
  </si>
  <si>
    <r>
      <t>Members Active Church:</t>
    </r>
    <r>
      <rPr>
        <b/>
        <sz val="11"/>
        <color theme="1"/>
        <rFont val="Calibri"/>
        <family val="2"/>
        <scheme val="minor"/>
      </rPr>
      <t xml:space="preserve"> 187</t>
    </r>
  </si>
  <si>
    <t xml:space="preserve">KIW01/24/0001 </t>
  </si>
  <si>
    <t xml:space="preserve">KIW01/24/0050 </t>
  </si>
  <si>
    <t>4941-1</t>
  </si>
  <si>
    <t xml:space="preserve">KIW01/2024/0001 </t>
  </si>
  <si>
    <t>KIW01/2024/0002</t>
  </si>
  <si>
    <t>KIW01/2024/0003</t>
  </si>
  <si>
    <t>KIW01/2024/0004</t>
  </si>
  <si>
    <t>KIW01/2024/0005</t>
  </si>
  <si>
    <t>KIW01/2024/0006</t>
  </si>
  <si>
    <t>KIW01/2024/0007</t>
  </si>
  <si>
    <t>KIW01/2024/0008</t>
  </si>
  <si>
    <t>KIW01/2024/0009</t>
  </si>
  <si>
    <t>KIW01/2024/0010</t>
  </si>
  <si>
    <t>KIW01/2024/0011</t>
  </si>
  <si>
    <t xml:space="preserve">Sosialisasi Umkm -transport </t>
  </si>
  <si>
    <t xml:space="preserve">Rawat Inap - Agus Damanik &amp; Ibu Rosni </t>
  </si>
  <si>
    <t xml:space="preserve">Operasional Rutin - Listrik, Kostur Etc </t>
  </si>
  <si>
    <t xml:space="preserve">Perbaikan Ac, Las Bangku </t>
  </si>
  <si>
    <t xml:space="preserve">Spp Jan Manawan - Jan 2024 </t>
  </si>
  <si>
    <t xml:space="preserve">Pp-ss Cabang Bojongsari </t>
  </si>
  <si>
    <t xml:space="preserve">Air Minum </t>
  </si>
  <si>
    <t xml:space="preserve">Fotocopy Kertas Acara </t>
  </si>
  <si>
    <t xml:space="preserve">Gift-ultah &amp;amp; Apresiasi </t>
  </si>
  <si>
    <t xml:space="preserve">Gift-apresiasi Pekan Doa Ssa </t>
  </si>
  <si>
    <t xml:space="preserve">Advance Payment - Bojong, Beras </t>
  </si>
  <si>
    <t>KIW01/24/0153</t>
  </si>
  <si>
    <t>KIW01/24/0218</t>
  </si>
  <si>
    <t>5279-1</t>
  </si>
  <si>
    <t>KIW01/2024/0012</t>
  </si>
  <si>
    <t>KIW01/2024/0013</t>
  </si>
  <si>
    <t>KIW01/2024/0014</t>
  </si>
  <si>
    <t>KIW01/2024/0015</t>
  </si>
  <si>
    <t>KIW01/2024/0016</t>
  </si>
  <si>
    <t>KIW01/2024/0017</t>
  </si>
  <si>
    <t>KIW01/2024/0018</t>
  </si>
  <si>
    <t>KIW01/2024/0019</t>
  </si>
  <si>
    <t>KIW01/2024/0020</t>
  </si>
  <si>
    <t>KIW01/2024/0021</t>
  </si>
  <si>
    <t>KIW01/2024/0022</t>
  </si>
  <si>
    <t>KIW01/2024/0023</t>
  </si>
  <si>
    <t>KIW01/2024/0024</t>
  </si>
  <si>
    <t>KIW01/2024/0025</t>
  </si>
  <si>
    <t>KIW01/2024/0026</t>
  </si>
  <si>
    <t>KIW01/2024/0027</t>
  </si>
  <si>
    <t>KIW01/2024/0028</t>
  </si>
  <si>
    <t>KIW01/2024/0029</t>
  </si>
  <si>
    <t xml:space="preserve">General Expense Feb 2024 - Pemeliharaan Grj (net) </t>
  </si>
  <si>
    <t xml:space="preserve">Ibadah Sabat Cabang Bojongsari - Feb 2024 (net) </t>
  </si>
  <si>
    <t xml:space="preserve">Perlawatan Rawat Inap - Feb 2024 </t>
  </si>
  <si>
    <t xml:space="preserve">Seminar Roh Nubuat </t>
  </si>
  <si>
    <t xml:space="preserve">Air Minum &amp;amp; Keperluan Kitchen - Feb 2024 </t>
  </si>
  <si>
    <t xml:space="preserve">Prakarya &amp; Fotocopy Real Time </t>
  </si>
  <si>
    <t xml:space="preserve">Fotocopy Kertas Acara &amp;amp; Buku Renungan </t>
  </si>
  <si>
    <t xml:space="preserve">Bank Admin Chg </t>
  </si>
  <si>
    <t xml:space="preserve">Doa Subuh - 4 Feb </t>
  </si>
  <si>
    <t xml:space="preserve">Seminar Kesehatan </t>
  </si>
  <si>
    <t>Seminar Motivasi</t>
  </si>
  <si>
    <t xml:space="preserve">Advance Payment - Beras For Mar24 </t>
  </si>
  <si>
    <t xml:space="preserve">Advance Payment - Ultah Grj For 09mar24 </t>
  </si>
  <si>
    <t xml:space="preserve">Advance Payment - Ibadah Sabat Bojongsari 02 Mar </t>
  </si>
  <si>
    <t xml:space="preserve">Dp &amp; Adv - Rmh Doa Bojongsari </t>
  </si>
  <si>
    <t xml:space="preserve">Advance Payment - Cicilan 2 Rmh Bojongsari </t>
  </si>
  <si>
    <t xml:space="preserve">Reclass Account Utk Kas Penginjilan </t>
  </si>
  <si>
    <t xml:space="preserve">Adjustment Feb 2024 - Others </t>
  </si>
  <si>
    <t>KIW01/24/0219</t>
  </si>
  <si>
    <t>KIW01/24/0289</t>
  </si>
  <si>
    <t>5517-1</t>
  </si>
  <si>
    <t>KIW01/2024/0030</t>
  </si>
  <si>
    <t>KIW01/2024/0031</t>
  </si>
  <si>
    <t>KIW01/2024/0032</t>
  </si>
  <si>
    <t>KIW01/2024/0033</t>
  </si>
  <si>
    <t>KIW01/2024/0034</t>
  </si>
  <si>
    <t>KIW01/2024/0035</t>
  </si>
  <si>
    <t>KIW01/2024/0036</t>
  </si>
  <si>
    <t>KIW01/2024/0037</t>
  </si>
  <si>
    <t>KIW01/2024/0038</t>
  </si>
  <si>
    <t>KIW01/2024/0039</t>
  </si>
  <si>
    <t>KIW01/2024/0040</t>
  </si>
  <si>
    <t>KIW01/2024/0041</t>
  </si>
  <si>
    <t>KIW01/2024/0042</t>
  </si>
  <si>
    <t>KIW01/2024/0043</t>
  </si>
  <si>
    <t>KIW01/2024/0044</t>
  </si>
  <si>
    <t>KIW01/2024/0045</t>
  </si>
  <si>
    <t>KIW01/2024/0046</t>
  </si>
  <si>
    <t>KIW01/2024/0047</t>
  </si>
  <si>
    <t>KIW01/2024/0048</t>
  </si>
  <si>
    <t>KIW01/2024/0049</t>
  </si>
  <si>
    <t>KIW01/2024/0050</t>
  </si>
  <si>
    <t>KIW01/2024/0051</t>
  </si>
  <si>
    <t>KIW01/2024/0052</t>
  </si>
  <si>
    <t>KIW01/2024/0053</t>
  </si>
  <si>
    <t>KIW01/2024/0054</t>
  </si>
  <si>
    <t>KIW01/2024/0055</t>
  </si>
  <si>
    <t>KIW01/2024/0056</t>
  </si>
  <si>
    <t>KIW01/2024/0057</t>
  </si>
  <si>
    <t>KIW01/2024/0058</t>
  </si>
  <si>
    <t>KIW01/2024/0059</t>
  </si>
  <si>
    <t>KIW01/2024/0060</t>
  </si>
  <si>
    <t>KIW01/2024/0061</t>
  </si>
  <si>
    <t>KIW01/2024/0062</t>
  </si>
  <si>
    <t>KIW01/2024/0063</t>
  </si>
  <si>
    <t xml:space="preserve">Pendaftaran Bwa Junior </t>
  </si>
  <si>
    <t xml:space="preserve">Pembelian Baterai Rechargable </t>
  </si>
  <si>
    <t xml:space="preserve">Perjamuan 1q24 </t>
  </si>
  <si>
    <t xml:space="preserve">Pembuatan Pin Diakon </t>
  </si>
  <si>
    <t xml:space="preserve">Kelahiran Anak &amp;amp; Rawat Inap - Mar 2024 </t>
  </si>
  <si>
    <t>Konsumsi Utk Acara Idaj 16 Mar</t>
  </si>
  <si>
    <t xml:space="preserve">Listrik, Pam, Indihome - Mar 2024 </t>
  </si>
  <si>
    <t xml:space="preserve">Kostur &amp;amp; Operasional Pdt - Maret 2024 </t>
  </si>
  <si>
    <t xml:space="preserve">Parkir - Maret 2024 </t>
  </si>
  <si>
    <t xml:space="preserve">Konsumsi Pembentukan Panitia Kkr Wilayah 10-15jun </t>
  </si>
  <si>
    <t xml:space="preserve">Transport Herman Maret 2024 </t>
  </si>
  <si>
    <t xml:space="preserve">Bank Adm Chg </t>
  </si>
  <si>
    <t xml:space="preserve">Bateri Aaa &amp;amp; Sunlight </t>
  </si>
  <si>
    <t>Pembelian Ls Lengkap</t>
  </si>
  <si>
    <t>Gift Pernikahan - Jessy &amp;amp; Jeanne</t>
  </si>
  <si>
    <t xml:space="preserve">Pembelian Rice Cooker </t>
  </si>
  <si>
    <t>Galon Air &amp;amp; Gas</t>
  </si>
  <si>
    <t xml:space="preserve">Survey Retreat Rt </t>
  </si>
  <si>
    <t>Beras Utk 4 Sabat</t>
  </si>
  <si>
    <t xml:space="preserve">Fotocopy Kertas Acara &amp;amp; Buku Renungan Vesper </t>
  </si>
  <si>
    <t xml:space="preserve">Transport Sosialisasi Sekretaris Konfrens </t>
  </si>
  <si>
    <t xml:space="preserve">Pembelian Buku Ss 2q24 </t>
  </si>
  <si>
    <t xml:space="preserve">Ssa - Ultah &amp;amp; Sabat 13 </t>
  </si>
  <si>
    <t xml:space="preserve">Spp Jan Manawan Feb &amp;amp; Mar 2024 </t>
  </si>
  <si>
    <t>Transport &amp;amp; Potluck - Ss Cabang Bojongsari</t>
  </si>
  <si>
    <t xml:space="preserve">Dp Retreat (sept) </t>
  </si>
  <si>
    <t xml:space="preserve">Advance - Fotocopy Kertas Acara </t>
  </si>
  <si>
    <t xml:space="preserve">Advance - Perlengkapan Ss Cabang Bojongsari </t>
  </si>
  <si>
    <t xml:space="preserve">Advance 2 - Rmh Doa Bojongsari </t>
  </si>
  <si>
    <t xml:space="preserve">Advance 3 - Rmh Doa Bojongsari </t>
  </si>
  <si>
    <t xml:space="preserve">Advance 4 - Rmh Doa Bojongsari </t>
  </si>
  <si>
    <t xml:space="preserve">Pelunasan - Rmh Doa Bojongsari </t>
  </si>
  <si>
    <t xml:space="preserve">Pelunasan - Rmh Doa Bojongsari (jeje) </t>
  </si>
  <si>
    <t>Adjustment</t>
  </si>
  <si>
    <t>KIW01/24/0290</t>
  </si>
  <si>
    <t>KIW01/24/0352</t>
  </si>
  <si>
    <t>5779-1</t>
  </si>
  <si>
    <t>KIW01/2024/0064</t>
  </si>
  <si>
    <t>KIW01/2024/0065</t>
  </si>
  <si>
    <t>KIW01/2024/0066</t>
  </si>
  <si>
    <t>KIW01/2024/0067</t>
  </si>
  <si>
    <t>KIW01/2024/0068</t>
  </si>
  <si>
    <t>KIW01/2024/0069</t>
  </si>
  <si>
    <t>KIW01/2024/0070</t>
  </si>
  <si>
    <t>KIW01/2024/0071</t>
  </si>
  <si>
    <t>KIW01/2024/0072</t>
  </si>
  <si>
    <t>KIW01/2024/0073</t>
  </si>
  <si>
    <t>KIW01/2024/0074</t>
  </si>
  <si>
    <t>KIW01/2024/0075</t>
  </si>
  <si>
    <t>KIW01/2024/0076</t>
  </si>
  <si>
    <t>KIW01/2024/0077</t>
  </si>
  <si>
    <t>KIW01/2024/0078</t>
  </si>
  <si>
    <t>KIW01/2024/0079</t>
  </si>
  <si>
    <t>KIW01/2024/0080</t>
  </si>
  <si>
    <t>KIW01/2024/0081</t>
  </si>
  <si>
    <t>KIW01/2024/0082</t>
  </si>
  <si>
    <t>KIW01/2024/0083</t>
  </si>
  <si>
    <t>KIW01/2024/0084</t>
  </si>
  <si>
    <t>KIW01/2024/0085</t>
  </si>
  <si>
    <t>KIW01/2024/0086</t>
  </si>
  <si>
    <t>KIW01/2024/0087</t>
  </si>
  <si>
    <t xml:space="preserve">Kostur &amp;amp; Operasional Pdt - April 2024 </t>
  </si>
  <si>
    <t xml:space="preserve">Indihome, Pam, Listrik April 2024 </t>
  </si>
  <si>
    <t xml:space="preserve">Parkir Sabat, Rabu Mlm &amp;amp; Transport Herman </t>
  </si>
  <si>
    <t xml:space="preserve">Pelayanan Cabang Bojongsari - April 2024 </t>
  </si>
  <si>
    <t xml:space="preserve">Tranport Utk Perlengkapan Rmh Doa </t>
  </si>
  <si>
    <t xml:space="preserve">Transport Utk Perlawatan Rawat Inap </t>
  </si>
  <si>
    <t xml:space="preserve">Doa Subuh 07 April </t>
  </si>
  <si>
    <t xml:space="preserve">Ls Kkr Officer 22 Apr-27apr (rec In Susp 400rb) </t>
  </si>
  <si>
    <t xml:space="preserve">Rt - Beras, Air, Kitchen Supplies </t>
  </si>
  <si>
    <t xml:space="preserve">Kegiatan Senam Bwa </t>
  </si>
  <si>
    <t>Dorkas - Rawat Inap 3 Org</t>
  </si>
  <si>
    <t xml:space="preserve">Diakon - Perlengkapan (lakban Etc) </t>
  </si>
  <si>
    <t>Musik - Fotocopy Ls Utk Bojongsari</t>
  </si>
  <si>
    <t>Lebaran: Gift Utk Warga Lansia Sekitar</t>
  </si>
  <si>
    <t xml:space="preserve">Proposal Renovasi Grj (10pcs) </t>
  </si>
  <si>
    <t xml:space="preserve">Pembelian Kursi Grj </t>
  </si>
  <si>
    <t xml:space="preserve">Fotocopy Realtime </t>
  </si>
  <si>
    <t xml:space="preserve">Advance - Kostur Utk Mei 2024 </t>
  </si>
  <si>
    <t>Dp 1 - Renovasi Grj</t>
  </si>
  <si>
    <t xml:space="preserve">Konsumsi Utk Kkr Officer 22-27apr </t>
  </si>
  <si>
    <t xml:space="preserve">Bantuan Sekolah Serang </t>
  </si>
  <si>
    <t xml:space="preserve">Payment For Others - Bantuan Sekolah Serang </t>
  </si>
  <si>
    <t xml:space="preserve">Adjustment </t>
  </si>
  <si>
    <t>KIW01/24/0353</t>
  </si>
  <si>
    <t>KIW01/24/0418</t>
  </si>
  <si>
    <t>6125-1</t>
  </si>
  <si>
    <t>KIW01/2024/0088</t>
  </si>
  <si>
    <t>KIW01/2024/0089</t>
  </si>
  <si>
    <t>KIW01/2024/0090</t>
  </si>
  <si>
    <t>KIW01/2024/0091</t>
  </si>
  <si>
    <t>KIW01/2024/0092</t>
  </si>
  <si>
    <t>KIW01/2024/0093</t>
  </si>
  <si>
    <t>KIW01/2024/0094</t>
  </si>
  <si>
    <t>KIW01/2024/0095</t>
  </si>
  <si>
    <t>KIW01/2024/0096</t>
  </si>
  <si>
    <t>KIW01/2024/0097</t>
  </si>
  <si>
    <t>KIW01/2024/0098</t>
  </si>
  <si>
    <t>KIW01/2024/0099</t>
  </si>
  <si>
    <t>KIW01/2024/0100</t>
  </si>
  <si>
    <t>KIW01/2024/0101</t>
  </si>
  <si>
    <t>KIW01/2024/0102</t>
  </si>
  <si>
    <t>KIW01/2024/0103</t>
  </si>
  <si>
    <t>KIW01/2024/0104</t>
  </si>
  <si>
    <t>KIW01/2024/0105</t>
  </si>
  <si>
    <t xml:space="preserve">Adventure Day </t>
  </si>
  <si>
    <t xml:space="preserve">Bank Charge Mei 2024 </t>
  </si>
  <si>
    <t xml:space="preserve">Pelayanan Bojongsari Mei 2024 </t>
  </si>
  <si>
    <t xml:space="preserve">Doa Subuh &amp;amp; Perlawatan </t>
  </si>
  <si>
    <t xml:space="preserve">Dorkas - Acara Lansia 11 Mei </t>
  </si>
  <si>
    <t xml:space="preserve">Rawat Inap &amp;amp; Kelahiran </t>
  </si>
  <si>
    <t xml:space="preserve">Kontribusi Utk Kkr Wilayah 12 Juni </t>
  </si>
  <si>
    <t xml:space="preserve">Operasional Pdt Mei 2024 </t>
  </si>
  <si>
    <t xml:space="preserve">Transpor Herman &amp;amp; Parkir Rb Mlm, Sabat, Rt </t>
  </si>
  <si>
    <t>Listrik, Pam, Indihome Mei 2024</t>
  </si>
  <si>
    <t xml:space="preserve">Apresiasi Kegiatan Olahraga Strava App </t>
  </si>
  <si>
    <t xml:space="preserve">Kitchen Supplies ( Beras &amp;amp; Galon Air) </t>
  </si>
  <si>
    <t xml:space="preserve">Seminar Music Camp </t>
  </si>
  <si>
    <t xml:space="preserve">Hardcopy Proposal Pembangunan </t>
  </si>
  <si>
    <t>Uang Duka - Subsidi Peti - Alm Bpk Yunnus Tauran</t>
  </si>
  <si>
    <t xml:space="preserve">Dp Pembangunan - Renov Grj </t>
  </si>
  <si>
    <t xml:space="preserve">Amplop Perx - Reclass Account (bantuan Serang) </t>
  </si>
  <si>
    <t>KIW01/24/0419</t>
  </si>
  <si>
    <t>KIW01/24/0493</t>
  </si>
  <si>
    <t>6491-1</t>
  </si>
  <si>
    <t>KIW01/2024/0106</t>
  </si>
  <si>
    <t>KIW01/2024/0107</t>
  </si>
  <si>
    <t>KIW01/2024/0108</t>
  </si>
  <si>
    <t>KIW01/2024/0109</t>
  </si>
  <si>
    <t>KIW01/2024/0110</t>
  </si>
  <si>
    <t>KIW01/2024/0111</t>
  </si>
  <si>
    <t>KIW01/2024/0112</t>
  </si>
  <si>
    <t>KIW01/2024/0113</t>
  </si>
  <si>
    <t>KIW01/2024/0114</t>
  </si>
  <si>
    <t>KIW01/2024/0115</t>
  </si>
  <si>
    <t>KIW01/2024/0116</t>
  </si>
  <si>
    <t>KIW01/2024/0117</t>
  </si>
  <si>
    <t>KIW01/2024/0118</t>
  </si>
  <si>
    <t>KIW01/2024/0119</t>
  </si>
  <si>
    <t>KIW01/2024/0120</t>
  </si>
  <si>
    <t>KIW01/2024/0121</t>
  </si>
  <si>
    <t>KIW01/2024/0122</t>
  </si>
  <si>
    <t>KIW01/2024/0123</t>
  </si>
  <si>
    <t>KIW01/2024/0124</t>
  </si>
  <si>
    <t>KIW01/2024/0125</t>
  </si>
  <si>
    <t>KIW01/2024/0126</t>
  </si>
  <si>
    <t>KIW01/2024/0127</t>
  </si>
  <si>
    <t>KIW01/2024/0128</t>
  </si>
  <si>
    <t>KIW01/2024/0129</t>
  </si>
  <si>
    <t>KIW01/2024/0130</t>
  </si>
  <si>
    <t>KIW01/2024/0131</t>
  </si>
  <si>
    <t>KIW01/2024/0132</t>
  </si>
  <si>
    <t>KIW01/2024/0133</t>
  </si>
  <si>
    <t>KIW01/2024/0134</t>
  </si>
  <si>
    <t>KIW01/2024/0135</t>
  </si>
  <si>
    <t>KIW01/2024/0136</t>
  </si>
  <si>
    <t>KIW01/2024/0137</t>
  </si>
  <si>
    <t xml:space="preserve">Pemasangan Listrik Rmh Doa Bojongsari </t>
  </si>
  <si>
    <t xml:space="preserve">Pelayanan Sabat Bojongsari - Juni 2024 </t>
  </si>
  <si>
    <t xml:space="preserve">Pelayanan Rabu Mlm - Bojongsari </t>
  </si>
  <si>
    <t xml:space="preserve">Kostur Bojongsari- Juni 2024 </t>
  </si>
  <si>
    <t>Pp - Cerita Alkitab Bojongsari</t>
  </si>
  <si>
    <t xml:space="preserve">Doa Semalam Indah Tgl 22 Juni </t>
  </si>
  <si>
    <t>Pembelian Handuk Babtisan</t>
  </si>
  <si>
    <t xml:space="preserve">Perjamuan Tgl 22 Juni </t>
  </si>
  <si>
    <t xml:space="preserve">Konsumsi Kerja Bakti 09 Jun </t>
  </si>
  <si>
    <t xml:space="preserve">Konsumsi- Persiapan Kolam Babtisan </t>
  </si>
  <si>
    <t xml:space="preserve">Pembelian Sarung Mic &amp; Baterai </t>
  </si>
  <si>
    <t xml:space="preserve">Rawat Inap Ibu Ani &amp; Syalom </t>
  </si>
  <si>
    <t xml:space="preserve">Pembelian Perlengkapan Dapur &amp;amp; Kebersihan Grj </t>
  </si>
  <si>
    <t xml:space="preserve">Pln Juni 2024 </t>
  </si>
  <si>
    <t xml:space="preserve">Kostur &amp;amp; Operasional Pdt - Juni 2024 </t>
  </si>
  <si>
    <t xml:space="preserve">Setting Audio - Operator </t>
  </si>
  <si>
    <t xml:space="preserve">Indihome, Pam, Juni 2024 </t>
  </si>
  <si>
    <t xml:space="preserve">Konsumsi Rapat Panitia Kkr </t>
  </si>
  <si>
    <t xml:space="preserve">Parkir Sabat, Rabu Mlm </t>
  </si>
  <si>
    <t xml:space="preserve">Pembelian Kambing Utk Idul Adha </t>
  </si>
  <si>
    <t xml:space="preserve">Transport Pa Gabungan </t>
  </si>
  <si>
    <t xml:space="preserve">Pendidikan - Reward Siswa Berprestasi </t>
  </si>
  <si>
    <t xml:space="preserve">Spp Jan Manawan Half Portion (apr-jun) </t>
  </si>
  <si>
    <t xml:space="preserve">Ssa - Sabat 13 &amp;amp; Ultah </t>
  </si>
  <si>
    <t xml:space="preserve">Advance Kostur Bojong &amp;amp; Grj - Juli 2024 </t>
  </si>
  <si>
    <t>Advance Pembelian Batre</t>
  </si>
  <si>
    <t xml:space="preserve">Dp Awal - Renovasi Grj (bulan April) </t>
  </si>
  <si>
    <t xml:space="preserve">Dp V &amp;amp; Vi - Renov Grj </t>
  </si>
  <si>
    <t xml:space="preserve">Amplop Perpuluhan - Komitmen Utk Bantuan Serang </t>
  </si>
  <si>
    <t xml:space="preserve">Talangan Pendaftaran Kampore </t>
  </si>
  <si>
    <t>KIW01/24/0494</t>
  </si>
  <si>
    <t>KIW01/24/0564</t>
  </si>
  <si>
    <t>6722-1</t>
  </si>
  <si>
    <t>KIW01/2024/0138</t>
  </si>
  <si>
    <t>KIW01/2024/0139</t>
  </si>
  <si>
    <t>KIW01/2024/0140</t>
  </si>
  <si>
    <t>KIW01/2024/0141</t>
  </si>
  <si>
    <t>KIW01/2024/0142</t>
  </si>
  <si>
    <t>KIW01/2024/0143</t>
  </si>
  <si>
    <t>KIW01/2024/0144</t>
  </si>
  <si>
    <t>KIW01/2024/0145</t>
  </si>
  <si>
    <t>KIW01/2024/0146</t>
  </si>
  <si>
    <t>KIW01/2024/0147</t>
  </si>
  <si>
    <t>KIW01/2024/0148</t>
  </si>
  <si>
    <t>KIW01/2024/0149</t>
  </si>
  <si>
    <t>KIW01/2024/0150</t>
  </si>
  <si>
    <t>KIW01/2024/0151</t>
  </si>
  <si>
    <t>KIW01/2024/0152</t>
  </si>
  <si>
    <t>KIW01/2024/0153</t>
  </si>
  <si>
    <t>KIW01/2024/0154</t>
  </si>
  <si>
    <t>KIW01/2024/0155</t>
  </si>
  <si>
    <t>KIW01/2024/0156</t>
  </si>
  <si>
    <t>KIW01/2024/0157</t>
  </si>
  <si>
    <t xml:space="preserve">Pelayanan Sabat Bojongsari - Juli 2024 </t>
  </si>
  <si>
    <t xml:space="preserve">Tissue &amp;amp; Roll Toilet (6month) </t>
  </si>
  <si>
    <t xml:space="preserve">Pembelian Selang Air 50m </t>
  </si>
  <si>
    <t xml:space="preserve">Listrik, Pam, Indihome Juli 2024 </t>
  </si>
  <si>
    <t xml:space="preserve">Operasional Pdt Juli 2024 </t>
  </si>
  <si>
    <t xml:space="preserve">Parkir Sabat, Rabu Mlm, Rt </t>
  </si>
  <si>
    <t xml:space="preserve">Pembelian Peralatan Makan (sendok, Piring) </t>
  </si>
  <si>
    <t xml:space="preserve">Beras, Air Minum, Plastik Dapur </t>
  </si>
  <si>
    <t xml:space="preserve">Bantuan Cicilan 1 Spp Rafael (bojongsari) </t>
  </si>
  <si>
    <t xml:space="preserve">Children Sabat Day &amp;amp; Fotocopy Real Time </t>
  </si>
  <si>
    <t xml:space="preserve">Pembelian Ss 3q 2024 (jul-sep) </t>
  </si>
  <si>
    <t xml:space="preserve">Pembelian Ss 1q 2024 (jan-mar) </t>
  </si>
  <si>
    <t xml:space="preserve">Uang Duka - Istri Pdt Sihombing </t>
  </si>
  <si>
    <t xml:space="preserve">Dp Vi - Renovasi Grj (trf Ke Vendor) </t>
  </si>
  <si>
    <t xml:space="preserve">Angsuran Vii - Renovasi Grj (trf Ke Vendor) </t>
  </si>
  <si>
    <t xml:space="preserve">Reclass Account Amplop Perx - Serang </t>
  </si>
  <si>
    <t xml:space="preserve">Offset Rec In Suspense Perx Juni </t>
  </si>
  <si>
    <t>KIW01/24/0565</t>
  </si>
  <si>
    <t>KIW01/24/0637</t>
  </si>
  <si>
    <t>7171-1</t>
  </si>
  <si>
    <t>KIW01/2024/0158</t>
  </si>
  <si>
    <t>KIW01/2024/0159</t>
  </si>
  <si>
    <t>KIW01/2024/0160</t>
  </si>
  <si>
    <t>KIW01/2024/0161</t>
  </si>
  <si>
    <t>KIW01/2024/0162</t>
  </si>
  <si>
    <t>KIW01/2024/0163</t>
  </si>
  <si>
    <t>KIW01/2024/0164</t>
  </si>
  <si>
    <t>KIW01/2024/0165</t>
  </si>
  <si>
    <t>KIW01/2024/0166</t>
  </si>
  <si>
    <t>KIW01/2024/0167</t>
  </si>
  <si>
    <t>KIW01/2024/0168</t>
  </si>
  <si>
    <t>KIW01/2024/0169</t>
  </si>
  <si>
    <t>KIW01/2024/0170</t>
  </si>
  <si>
    <t>KIW01/2024/0171</t>
  </si>
  <si>
    <t>KIW01/2024/0172</t>
  </si>
  <si>
    <t>KIW01/2024/0173</t>
  </si>
  <si>
    <t>KIW01/2024/0174</t>
  </si>
  <si>
    <t>KIW01/2024/0175</t>
  </si>
  <si>
    <t>KIW01/2024/0176</t>
  </si>
  <si>
    <t xml:space="preserve">Bank Mandiri - Biaya Admin &amp;amp; Pajak Aug 2024 </t>
  </si>
  <si>
    <t xml:space="preserve">Bank Chg - Aug 2024 </t>
  </si>
  <si>
    <t xml:space="preserve">Pelayanan Sabat Cabang Bojongsari </t>
  </si>
  <si>
    <t xml:space="preserve">Pelayanan Rabu Mlm Bojongsari </t>
  </si>
  <si>
    <t xml:space="preserve">Doa Subuh </t>
  </si>
  <si>
    <t xml:space="preserve">Rawat Inap Bpk Thomas </t>
  </si>
  <si>
    <t xml:space="preserve">Beli Karbol, Baterai Utk Pengharum Ruangan </t>
  </si>
  <si>
    <t xml:space="preserve">Pln, Pam, Indihome - Aug 2024 </t>
  </si>
  <si>
    <t xml:space="preserve">Gift &amp;amp; Cash Pernikahan Jerri Saraun </t>
  </si>
  <si>
    <t xml:space="preserve">Kostur Aug 2024 - Nur, Nancy </t>
  </si>
  <si>
    <t xml:space="preserve">Kostur &amp;amp; Operator Pernikahan </t>
  </si>
  <si>
    <t xml:space="preserve">Operasional Pdt Agustus 2024 </t>
  </si>
  <si>
    <t xml:space="preserve">Kostur Aug 2024 - Bojongsari </t>
  </si>
  <si>
    <t xml:space="preserve">Tumpeng Utk Acara Perpisahan Pdt Sihombing </t>
  </si>
  <si>
    <t xml:space="preserve">Parkir - Aug 2024 </t>
  </si>
  <si>
    <t xml:space="preserve">Donor Darah (konsumsi) </t>
  </si>
  <si>
    <t>Beras, Air Minum, Gas, Sunlight - Aug 2024</t>
  </si>
  <si>
    <t xml:space="preserve">Kontribusi Hut Ri Ke Rt Setempat </t>
  </si>
  <si>
    <t xml:space="preserve">Add Renov - Ac 2pk (trf To Vendor) </t>
  </si>
  <si>
    <t>KIW01/2024/0177</t>
  </si>
  <si>
    <t xml:space="preserve">Perbaikan Listrik &amp;amp; Ac </t>
  </si>
  <si>
    <t>KIW01/2024/0178</t>
  </si>
  <si>
    <t>KIW01/2024/0179</t>
  </si>
  <si>
    <t>KIW01/2024/0180</t>
  </si>
  <si>
    <t>KIW01/2024/0181</t>
  </si>
  <si>
    <t>KIW01/2024/0182</t>
  </si>
  <si>
    <t>KIW01/2024/0183</t>
  </si>
  <si>
    <t xml:space="preserve">Iuran Kontribusi Papa </t>
  </si>
  <si>
    <t xml:space="preserve">Sewa Mobil, Bensin Toll Utk Acara Papa </t>
  </si>
  <si>
    <t xml:space="preserve">Bantuan Cicilan 2 Rafael (bojongsari) </t>
  </si>
  <si>
    <t xml:space="preserve">Spp Jan Manawan Half Portion (jul-aug) </t>
  </si>
  <si>
    <t>Advance Kostur Nancy - September 2024</t>
  </si>
  <si>
    <t xml:space="preserve">Angsuran Viii - Renovasi Grj (trf Ke Vendor) </t>
  </si>
  <si>
    <t>KIW01/24/0638</t>
  </si>
  <si>
    <t>KIW01/24/0704</t>
  </si>
  <si>
    <t>7499-1</t>
  </si>
  <si>
    <t>KIW01/2024/0184</t>
  </si>
  <si>
    <t>KIW01/2024/0185</t>
  </si>
  <si>
    <t>KIW01/2024/0186</t>
  </si>
  <si>
    <t>KIW01/2024/0187</t>
  </si>
  <si>
    <t>KIW01/2024/0188</t>
  </si>
  <si>
    <t>KIW01/2024/0189</t>
  </si>
  <si>
    <t>KIW01/2024/0190</t>
  </si>
  <si>
    <t>KIW01/2024/0191</t>
  </si>
  <si>
    <t>KIW01/2024/0192</t>
  </si>
  <si>
    <t>KIW01/2024/0193</t>
  </si>
  <si>
    <t>KIW01/2024/0194</t>
  </si>
  <si>
    <t>KIW01/2024/0195</t>
  </si>
  <si>
    <t>KIW01/2024/0196</t>
  </si>
  <si>
    <t>KIW01/2024/0197</t>
  </si>
  <si>
    <t>KIW01/2024/0198</t>
  </si>
  <si>
    <t>KIW01/2024/0199</t>
  </si>
  <si>
    <t>KIW01/2024/0200</t>
  </si>
  <si>
    <t>KIW01/2024/0201</t>
  </si>
  <si>
    <t>KIW01/2024/0202</t>
  </si>
  <si>
    <t>KIW01/2024/0203</t>
  </si>
  <si>
    <t>KIW01/2024/0204</t>
  </si>
  <si>
    <t>KIW01/2024/0205</t>
  </si>
  <si>
    <t>KIW01/2024/0206</t>
  </si>
  <si>
    <t>KIW01/2024/0207</t>
  </si>
  <si>
    <t>KIW01/2024/0208</t>
  </si>
  <si>
    <t>KIW01/2024/0209</t>
  </si>
  <si>
    <t>KIW01/2024/0210</t>
  </si>
  <si>
    <t>KIW01/2024/0211</t>
  </si>
  <si>
    <t>KIW01/2024/0212</t>
  </si>
  <si>
    <t>KIW01/2024/0213</t>
  </si>
  <si>
    <t>KIW01/2024/0214</t>
  </si>
  <si>
    <t>KIW01/2024/0215</t>
  </si>
  <si>
    <t>KIW01/2024/0216</t>
  </si>
  <si>
    <t xml:space="preserve">Bank Chg - Sep 2024 </t>
  </si>
  <si>
    <t xml:space="preserve">Pelayanan Sabat Ss Cabang Bojongsari </t>
  </si>
  <si>
    <t xml:space="preserve">Pelayanan Rabu Mlm Ss Cabang Bojongsari </t>
  </si>
  <si>
    <t xml:space="preserve">Cerita Alkitab Utk Ss Cabang Bojongsari </t>
  </si>
  <si>
    <t xml:space="preserve">Perjamuan 3q24 </t>
  </si>
  <si>
    <t xml:space="preserve">Perlawatan Ibu Essy </t>
  </si>
  <si>
    <t xml:space="preserve">Rawat Inap Anak Jonathan (ibu Febru) </t>
  </si>
  <si>
    <t>Kostur Sept 2024 - Nur</t>
  </si>
  <si>
    <t xml:space="preserve">Operasional Pdt Bulan Sep 2024 </t>
  </si>
  <si>
    <t xml:space="preserve">Indihome Sep 2024 </t>
  </si>
  <si>
    <t xml:space="preserve">Kostur Bojongsari - Sep 2024 </t>
  </si>
  <si>
    <t xml:space="preserve">Parkir Sep 2024 </t>
  </si>
  <si>
    <t xml:space="preserve">Pam Sep 2024 </t>
  </si>
  <si>
    <t xml:space="preserve">Pln Sep 2024 </t>
  </si>
  <si>
    <t>Stik Pemeriksaan Darah Utk Retreat</t>
  </si>
  <si>
    <t xml:space="preserve">Apresiasi Strava Ii </t>
  </si>
  <si>
    <t xml:space="preserve">Beras And Aqua </t>
  </si>
  <si>
    <t xml:space="preserve">Pengakuan Biaya Pembangunan Proposal Awal </t>
  </si>
  <si>
    <t xml:space="preserve">Pemasangan Cctv + Tambahan Pekerjaan Ii </t>
  </si>
  <si>
    <t xml:space="preserve">Pembuatan Logo + Perbaikan Ac Lt 3 </t>
  </si>
  <si>
    <t xml:space="preserve">Spp Jan Manawan Half Portion (sep-okt) </t>
  </si>
  <si>
    <t xml:space="preserve">Hadiah Utk Ssa Sabat 13 </t>
  </si>
  <si>
    <t xml:space="preserve">Pembelian Buku Ss 4q24 </t>
  </si>
  <si>
    <t xml:space="preserve">Konsumsi &amp;amp; Gift Kkr Sekretaris </t>
  </si>
  <si>
    <t xml:space="preserve">Kertas Acara </t>
  </si>
  <si>
    <t xml:space="preserve">Apresiasi Pelayanan Bpk Alm Beni Noya </t>
  </si>
  <si>
    <t xml:space="preserve">Uang Duka - Subsidi Peti - Alm Bpk Benny Noya </t>
  </si>
  <si>
    <t xml:space="preserve">Penggantian Kas Sosial Dari Kas Jemaat </t>
  </si>
  <si>
    <t xml:space="preserve">Offset Rec In Suspense - Uang Masuk Retreat </t>
  </si>
  <si>
    <t xml:space="preserve">Pengembailan Dp &amp;amp; Survey Retreat Dari Kas Jema </t>
  </si>
  <si>
    <t xml:space="preserve">Pengakuan Biaya Retreat 2024 (exclude Survey) </t>
  </si>
  <si>
    <t xml:space="preserve">Reclass Account - Persembahan Sosial </t>
  </si>
  <si>
    <t xml:space="preserve">Adjustment - Pengeluaran Retreat </t>
  </si>
  <si>
    <t>KIW01/24/0705</t>
  </si>
  <si>
    <t>KIW01/2024/0217</t>
  </si>
  <si>
    <t>KIW01/2024/0218</t>
  </si>
  <si>
    <t>KIW01/2024/0219</t>
  </si>
  <si>
    <t>KIW01/2024/0220</t>
  </si>
  <si>
    <t>KIW01/2024/0221</t>
  </si>
  <si>
    <t>KIW01/2024/0222</t>
  </si>
  <si>
    <t>KIW01/2024/0223</t>
  </si>
  <si>
    <t>KIW01/2024/0224</t>
  </si>
  <si>
    <t>KIW01/2024/0225</t>
  </si>
  <si>
    <t>KIW01/2024/0226</t>
  </si>
  <si>
    <t>KIW01/2024/0227</t>
  </si>
  <si>
    <t>KIW01/2024/0228</t>
  </si>
  <si>
    <t>KIW01/2024/0229</t>
  </si>
  <si>
    <t>KIW01/2024/0230</t>
  </si>
  <si>
    <t>KIW01/2024/0231</t>
  </si>
  <si>
    <t>KIW01/2024/0232</t>
  </si>
  <si>
    <t>KIW01/2024/0233</t>
  </si>
  <si>
    <t>KIW01/2024/0234</t>
  </si>
  <si>
    <t>KIW01/2024/0235</t>
  </si>
  <si>
    <t>KIW01/2024/0236</t>
  </si>
  <si>
    <t>KIW01/2024/0237</t>
  </si>
  <si>
    <t>KIW01/2024/0238</t>
  </si>
  <si>
    <t>KIW01/2024/0239</t>
  </si>
  <si>
    <t>KIW01/2024/0240</t>
  </si>
  <si>
    <t>KIW01/2024/0241</t>
  </si>
  <si>
    <t>KIW01/2024/0242</t>
  </si>
  <si>
    <t>KIW01/2024/0243</t>
  </si>
  <si>
    <t>KIW01/2024/0244</t>
  </si>
  <si>
    <t>KIW01/2024/0245</t>
  </si>
  <si>
    <t xml:space="preserve">Pelayanan Sabat Bojongsari - Oktober 2024 </t>
  </si>
  <si>
    <t xml:space="preserve">Pelayanan Rabu Mlm Bojongsari - Okt 2024 </t>
  </si>
  <si>
    <t xml:space="preserve">Pembelian Tong Sampah </t>
  </si>
  <si>
    <t xml:space="preserve">Pembelian Bunga Mimbar </t>
  </si>
  <si>
    <t xml:space="preserve">Kemeja Dinas - Pdt Sigalingging </t>
  </si>
  <si>
    <t xml:space="preserve">Konsumsi Utk Doa Subuh </t>
  </si>
  <si>
    <t>Acara Lansia</t>
  </si>
  <si>
    <t xml:space="preserve">Rawat Inap Vania </t>
  </si>
  <si>
    <t xml:space="preserve">Gift Utk Perpisahan Pdt H Sihombing </t>
  </si>
  <si>
    <t xml:space="preserve">Listrik, Pam, Indihome </t>
  </si>
  <si>
    <t xml:space="preserve">Kontribusi Kkr Wilayah Gelombang 2 </t>
  </si>
  <si>
    <t xml:space="preserve">Kostur - Nur &amp;amp; Nancy - Oct 2024 </t>
  </si>
  <si>
    <t xml:space="preserve">Pulsa Utk Kkr Net (4 Anak) </t>
  </si>
  <si>
    <t xml:space="preserve">Operasional Pdt Bulan Okt 2024 </t>
  </si>
  <si>
    <t xml:space="preserve">Pelayanan Pdt Guthe </t>
  </si>
  <si>
    <t xml:space="preserve">Baterai </t>
  </si>
  <si>
    <t xml:space="preserve">Parkir Rabu Mlm Dan Sabat - Okt 2024 </t>
  </si>
  <si>
    <t xml:space="preserve">Konsumsi Minggu Sembahyang Kesehatan </t>
  </si>
  <si>
    <t>Beras &amp; Tambahan Potluck</t>
  </si>
  <si>
    <t xml:space="preserve">Air Minum &amp;amp; Sunlight </t>
  </si>
  <si>
    <t xml:space="preserve">Kue Ultah Pathfinder </t>
  </si>
  <si>
    <t xml:space="preserve">Pembelian Lemari Buku </t>
  </si>
  <si>
    <t xml:space="preserve">Transportasi Pa </t>
  </si>
  <si>
    <t xml:space="preserve">Fotocopy Buku Ssa Realtime </t>
  </si>
  <si>
    <t xml:space="preserve">Bank Mandiri - Biaya Admin &amp;amp; Pajak Okt 2024 </t>
  </si>
  <si>
    <t xml:space="preserve">Bank Charge - Okt 2024 </t>
  </si>
  <si>
    <t xml:space="preserve">Transfer Komitmen Bantuan Efrata </t>
  </si>
  <si>
    <t xml:space="preserve">Reverse - Kiwi01/0777 - Penerimaan Bantuan Efrata </t>
  </si>
  <si>
    <t xml:space="preserve">Reclass Account - Amplop Perx Bantuan Efrata </t>
  </si>
  <si>
    <t>KIW01/24/0780</t>
  </si>
  <si>
    <t>KIW01/24/0781</t>
  </si>
  <si>
    <t>KIW01/24/0851</t>
  </si>
  <si>
    <t>7983-1</t>
  </si>
  <si>
    <t>KIW01/2024/0246</t>
  </si>
  <si>
    <t>KIW01/2024/0247</t>
  </si>
  <si>
    <t>KIW01/2024/0248</t>
  </si>
  <si>
    <t>KIW01/2024/0249</t>
  </si>
  <si>
    <t>KIW01/2024/0250</t>
  </si>
  <si>
    <t>KIW01/2024/0251</t>
  </si>
  <si>
    <t>KIW01/2024/0252</t>
  </si>
  <si>
    <t>KIW01/2024/0253</t>
  </si>
  <si>
    <t>KIW01/2024/0254</t>
  </si>
  <si>
    <t>KIW01/2024/0255</t>
  </si>
  <si>
    <t>KIW01/2024/0256</t>
  </si>
  <si>
    <t>KIW01/2024/0257</t>
  </si>
  <si>
    <t>KIW01/2024/0258</t>
  </si>
  <si>
    <t>KIW01/2024/0259</t>
  </si>
  <si>
    <t>KIW01/2024/0260</t>
  </si>
  <si>
    <t>KIW01/2024/0261</t>
  </si>
  <si>
    <t>KIW01/2024/0262</t>
  </si>
  <si>
    <t>KIW01/2024/0263</t>
  </si>
  <si>
    <t>KIW01/2024/0264</t>
  </si>
  <si>
    <t>KIW01/2024/0265</t>
  </si>
  <si>
    <t>KIW01/2024/0266</t>
  </si>
  <si>
    <t>KIW01/2024/0267</t>
  </si>
  <si>
    <t>KIW01/2024/0268</t>
  </si>
  <si>
    <t>KIW01/2024/0269</t>
  </si>
  <si>
    <t>KIW01/2024/0270</t>
  </si>
  <si>
    <t>KIW01/2024/0271</t>
  </si>
  <si>
    <t>KIW01/2024/0272</t>
  </si>
  <si>
    <t>KIW01/2024/0273</t>
  </si>
  <si>
    <t>KIW01/2024/0274</t>
  </si>
  <si>
    <t xml:space="preserve">Senam Bwa </t>
  </si>
  <si>
    <t xml:space="preserve">Pelayanan Sabat Bojongsari Nov 2024 </t>
  </si>
  <si>
    <t xml:space="preserve">Kostur Bojongsari </t>
  </si>
  <si>
    <t xml:space="preserve">Pembelian Stock Tissue </t>
  </si>
  <si>
    <t xml:space="preserve">Konsumsi Utk Acara Doa Subuh (2x) </t>
  </si>
  <si>
    <t xml:space="preserve">Konsumsi Utk Pembersihan Kolam Babtisan </t>
  </si>
  <si>
    <t xml:space="preserve">Transport Perlawatan Ibu Essy &amp;amp; Ibu Rosni </t>
  </si>
  <si>
    <t xml:space="preserve">Rawat Inap Ibu Rosni </t>
  </si>
  <si>
    <t xml:space="preserve">Kostur Essy &amp;amp; Nur - November 2024 </t>
  </si>
  <si>
    <t xml:space="preserve">Listrik. Pam, Indihome - Nov 2024 </t>
  </si>
  <si>
    <t xml:space="preserve">Pernikahan - Kostur, Operator, Parkir </t>
  </si>
  <si>
    <t xml:space="preserve">Operasional Pdt November 2024 </t>
  </si>
  <si>
    <t>Pelayanan Pdt Simalango</t>
  </si>
  <si>
    <t>Transport Herman</t>
  </si>
  <si>
    <t>Parkir Sabat &amp;amp; Rabu Mlm - Nov 2024</t>
  </si>
  <si>
    <t xml:space="preserve">Konsumsi &amp;amp; Gift - Seminar Kesehatan Ypki </t>
  </si>
  <si>
    <t xml:space="preserve">Beras (2x) </t>
  </si>
  <si>
    <t xml:space="preserve">Air Minum, Minyak, Sunlight - Nov 2024 </t>
  </si>
  <si>
    <t xml:space="preserve">Pembelian Cover Piano Dan Tas Keyboard </t>
  </si>
  <si>
    <t xml:space="preserve">Kontribusi Acara Mama Pag </t>
  </si>
  <si>
    <t xml:space="preserve">Iuran Tahunan Pag </t>
  </si>
  <si>
    <t xml:space="preserve">Transport Pag </t>
  </si>
  <si>
    <t xml:space="preserve">Perbaikan Shower Toilet </t>
  </si>
  <si>
    <t xml:space="preserve">Bank Chg - Nov 2024 </t>
  </si>
  <si>
    <t xml:space="preserve">Reclass Dari Lain2 Ke Operasional - Bantuan Efrata </t>
  </si>
  <si>
    <t xml:space="preserve">Pembelian Piano </t>
  </si>
  <si>
    <t xml:space="preserve">Reclass Account - Dari Kas Grj Ke Kas Piano </t>
  </si>
  <si>
    <t xml:space="preserve">Adjustment - Settlement Rec In Suspense </t>
  </si>
  <si>
    <t>KIW01/24/0852</t>
  </si>
  <si>
    <t>KIW01/24/0925</t>
  </si>
  <si>
    <t>8198-1</t>
  </si>
  <si>
    <t>KIW01/2024/0275</t>
  </si>
  <si>
    <t>KIW01/2024/0276</t>
  </si>
  <si>
    <t>KIW01/2024/0277</t>
  </si>
  <si>
    <t>KIW01/2024/0278</t>
  </si>
  <si>
    <t>KIW01/2024/0279</t>
  </si>
  <si>
    <t>KIW01/2024/0280</t>
  </si>
  <si>
    <t>KIW01/2024/0281</t>
  </si>
  <si>
    <t>KIW01/2024/0282</t>
  </si>
  <si>
    <t>KIW01/2024/0283</t>
  </si>
  <si>
    <t>KIW01/2024/0284</t>
  </si>
  <si>
    <t>KIW01/2024/0285</t>
  </si>
  <si>
    <t>KIW01/2024/0286</t>
  </si>
  <si>
    <t>KIW01/2024/0287</t>
  </si>
  <si>
    <t>KIW01/2024/0288</t>
  </si>
  <si>
    <t>KIW01/2024/0289</t>
  </si>
  <si>
    <t>KIW01/2024/0290</t>
  </si>
  <si>
    <t>KIW01/2024/0291</t>
  </si>
  <si>
    <t>KIW01/2024/0292</t>
  </si>
  <si>
    <t>KIW01/2024/0293</t>
  </si>
  <si>
    <t>KIW01/2024/0294</t>
  </si>
  <si>
    <t>KIW01/2024/0295</t>
  </si>
  <si>
    <t>KIW01/2024/0296</t>
  </si>
  <si>
    <t>KIW01/2024/0297</t>
  </si>
  <si>
    <t>KIW01/2024/0298</t>
  </si>
  <si>
    <t>KIW01/2024/0299</t>
  </si>
  <si>
    <t>KIW01/2024/0300</t>
  </si>
  <si>
    <t>KIW01/2024/0301</t>
  </si>
  <si>
    <t>KIW01/2024/0302</t>
  </si>
  <si>
    <t>KIW01/2024/0303</t>
  </si>
  <si>
    <t>KIW01/2024/0304</t>
  </si>
  <si>
    <t>KIW01/2024/0305</t>
  </si>
  <si>
    <t>KIW01/2024/0306</t>
  </si>
  <si>
    <t>KIW01/2024/0307</t>
  </si>
  <si>
    <t>KIW01/2024/0308</t>
  </si>
  <si>
    <t>KIW01/2024/0309</t>
  </si>
  <si>
    <t>KIW01/2024/0310</t>
  </si>
  <si>
    <t>KIW01/2024/0311</t>
  </si>
  <si>
    <t>KIW01/2024/0312</t>
  </si>
  <si>
    <t>KIW01/2024/0313</t>
  </si>
  <si>
    <t>KIW01/2024/0314</t>
  </si>
  <si>
    <t>KIW01/2024/0315</t>
  </si>
  <si>
    <t>KIW01/2024/0316</t>
  </si>
  <si>
    <t>KIW01/2024/0317</t>
  </si>
  <si>
    <t>KIW01/2024/0318</t>
  </si>
  <si>
    <t xml:space="preserve">Konsumsi &amp; Transport Utk Kkr Bwa Tgl 04-07 Des </t>
  </si>
  <si>
    <t xml:space="preserve">Pembuatan Kaos Bwa - Kas Operasional </t>
  </si>
  <si>
    <t xml:space="preserve">Pembuatan Kaos Bwa Dari Kas Bwa </t>
  </si>
  <si>
    <t xml:space="preserve">Transport &amp;amp; Potluck Sabat Bojongsari </t>
  </si>
  <si>
    <t xml:space="preserve">Transport Bojongsari Utk Acara Tahun Baru </t>
  </si>
  <si>
    <t>Kostur Bojongsari - Des 2024</t>
  </si>
  <si>
    <t xml:space="preserve">Alkitab Anak2 &amp; Cerita Alkitab Bojongsari </t>
  </si>
  <si>
    <t xml:space="preserve">Pemasangan Kunci Pintu Bojongsari </t>
  </si>
  <si>
    <t xml:space="preserve">Pembelian Kabel Extension (2unit) </t>
  </si>
  <si>
    <t xml:space="preserve">Pembelian Lagu Sion </t>
  </si>
  <si>
    <t xml:space="preserve">Biaya Perjamuan </t>
  </si>
  <si>
    <t xml:space="preserve">Acara Lansia Tahun Baru (kas Dorkas) </t>
  </si>
  <si>
    <t xml:space="preserve">Rawat Inap Queency, Costa, Dasya </t>
  </si>
  <si>
    <t xml:space="preserve">Pengakuan Biaya - Acara Tahun Baru </t>
  </si>
  <si>
    <t xml:space="preserve">Pengakuan Biaya - Acara Ssa Pd Tahun Baru </t>
  </si>
  <si>
    <t>Listrik, Indihome, Pam</t>
  </si>
  <si>
    <t xml:space="preserve">Kostur &amp;amp; Thr (essy, Nur) </t>
  </si>
  <si>
    <t xml:space="preserve">Operasional Pdt &amp; Thr </t>
  </si>
  <si>
    <t>Trasnport Pak Herman &amp;amp; Ibu Etty</t>
  </si>
  <si>
    <t xml:space="preserve">Transport Utk Sosialisasi Konferens </t>
  </si>
  <si>
    <t>Parkir Sabat &amp;amp; Rabu Mlm</t>
  </si>
  <si>
    <t>Pembelian Kabel Power &amp; Sarung Mic</t>
  </si>
  <si>
    <t>Apresiasi Strava Ii</t>
  </si>
  <si>
    <t xml:space="preserve">Beras &amp;amp; Air Minum </t>
  </si>
  <si>
    <t xml:space="preserve">Transport &amp;amp; Konsumsi Kpa - Bpk Damanik </t>
  </si>
  <si>
    <t xml:space="preserve">Spp Jan Manawan Bulan Nov-des 2024 </t>
  </si>
  <si>
    <t xml:space="preserve">Reward Follow The Bible </t>
  </si>
  <si>
    <t xml:space="preserve">Gift Ut Hari Ibu (dari Kas Rt) </t>
  </si>
  <si>
    <t>Tambahan Kain &amp;amp; Konsumsi Rt</t>
  </si>
  <si>
    <t xml:space="preserve">Pembelian Buku Ss 1q25 </t>
  </si>
  <si>
    <t xml:space="preserve">Ss - Apresiasi Kehadiran </t>
  </si>
  <si>
    <t xml:space="preserve">Pembelian Karangan Bunga Dukacita - Kel Ibu Angel </t>
  </si>
  <si>
    <t xml:space="preserve">Duka - Kel Sukardi </t>
  </si>
  <si>
    <t xml:space="preserve">Bank Chg Transfer </t>
  </si>
  <si>
    <t>Bank Mandiri - Biaya Admin &amp;amp; Pajak Des 2024</t>
  </si>
  <si>
    <t>Acara Lansia Tahun Baru - Kas Operasional</t>
  </si>
  <si>
    <t>T/j - Amplop Perx Sponsorship Thn Baru</t>
  </si>
  <si>
    <t xml:space="preserve">T/j Komitmen Bantuan Efrata Dari Amplop Perx </t>
  </si>
  <si>
    <t>Adjustment - Penerimaan Iuran Tahun Baru</t>
  </si>
  <si>
    <t xml:space="preserve">Adjustment - Penerimaan Iuran Tahun Baru </t>
  </si>
  <si>
    <t xml:space="preserve">Zero Balance Kas Lain2 Ke Kas Operasional </t>
  </si>
  <si>
    <t xml:space="preserve">Zero Balance Kas Penginjilan </t>
  </si>
  <si>
    <t xml:space="preserve">Zero Balance Kas Pendidikan </t>
  </si>
  <si>
    <t>Kami Ucapkan Trimakasih adanya Peningkatan Persentasi Persepuluhan dan Persembahan Terpadu tahun 2024 bandingkan tahun 2023 yaitu : 35,56 %</t>
  </si>
  <si>
    <r>
      <t xml:space="preserve">Saldo Akhir Desember 2024, Laporan Kas Jemaat </t>
    </r>
    <r>
      <rPr>
        <b/>
        <sz val="11"/>
        <color theme="1"/>
        <rFont val="Bahnschrift SemiLight"/>
        <family val="2"/>
      </rPr>
      <t>Rp. 44 237 753,-</t>
    </r>
  </si>
  <si>
    <t>Kami Meminta agar Pdt Jemaat dan Bendahara JEMAAT KIWI Untuk memeriksa / Checking Laporan Kas jemaat Desember 2024</t>
  </si>
  <si>
    <t>Sejumlah Rp. 44 237 753 sama dengan Dana yang di simpan di Bank milik JEMAAT KIWI</t>
  </si>
  <si>
    <t>Kami ucapkan trimakasih kepada Bendahara Jemaat mengirimkan ( Transfer ) uang dan Laporan Keuangan seperti yang di tetapkan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</si>
</sst>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&quot;$&quot;* #,##0.00_);_(&quot;$&quot;* \(#,##0.00\);_(&quot;$&quot;* &quot;-&quot;??_);_(@_)"/>
    <numFmt numFmtId="165" formatCode="[$-409]d\-mmm\-yy;@"/>
    <numFmt numFmtId="166" formatCode="@\ * &quot;:&quot;"/>
    <numFmt numFmtId="167" formatCode="_-* #,##0.00_-;\-* #,##0.00_-;_-* &quot;-&quot;_-;_-@_-"/>
    <numFmt numFmtId="168" formatCode="d&quot;-&quot;mmm&quot;-&quot;yyyy"/>
    <numFmt numFmtId="169" formatCode="_([$IDR]\ * #,##0.00_);_([$IDR]\ * \(#,##0.00\);_([$IDR]\ * &quot;-&quot;??_);_(@_)"/>
    <numFmt numFmtId="170" formatCode="_([$IDR]\ * #,##0_);_([$IDR]\ * \(#,##0\);_([$IDR]\ * &quot;-&quot;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Bahnschrift SemiLight"/>
      <family val="2"/>
    </font>
    <font>
      <b/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"/>
      <name val="Arial"/>
      <family val="2"/>
    </font>
    <font>
      <sz val="8"/>
      <color theme="1"/>
      <name val="Arial"/>
      <family val="2"/>
    </font>
    <font>
      <u val="singleAccounting"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Bahnschrift SemiLight"/>
      <family val="2"/>
    </font>
    <font>
      <i/>
      <sz val="11"/>
      <color theme="1"/>
      <name val="Arial"/>
      <family val="2"/>
    </font>
    <font>
      <b/>
      <sz val="11"/>
      <color rgb="FFFAF3E8"/>
      <name val="Poppins"/>
    </font>
    <font>
      <b/>
      <sz val="11"/>
      <color rgb="FF503C1E"/>
      <name val="Poppins"/>
    </font>
    <font>
      <sz val="11"/>
      <color theme="1"/>
      <name val="Poppins"/>
    </font>
    <font>
      <b/>
      <sz val="24"/>
      <color rgb="FF503C1E"/>
      <name val="Poppins"/>
    </font>
    <font>
      <sz val="11"/>
      <color rgb="FF503C1E"/>
      <name val="Poppins"/>
    </font>
    <font>
      <b/>
      <sz val="11"/>
      <color theme="1"/>
      <name val="Poppins"/>
    </font>
    <font>
      <b/>
      <sz val="26"/>
      <color rgb="FFFAF3E8"/>
      <name val="Oswald"/>
    </font>
    <font>
      <b/>
      <sz val="20"/>
      <color rgb="FF134F5C"/>
      <name val="Poppins"/>
    </font>
    <font>
      <b/>
      <sz val="14"/>
      <color theme="1"/>
      <name val="Poppins"/>
    </font>
    <font>
      <b/>
      <sz val="11"/>
      <color theme="1"/>
      <name val="Century Gothic"/>
      <family val="2"/>
    </font>
    <font>
      <b/>
      <sz val="16"/>
      <color rgb="FFFAF3E8"/>
      <name val="Poppins"/>
    </font>
    <font>
      <b/>
      <sz val="15"/>
      <color rgb="FFFAF3E8"/>
      <name val="Oswald"/>
    </font>
    <font>
      <b/>
      <u/>
      <sz val="11"/>
      <color rgb="FF503C1E"/>
      <name val="Poppins"/>
    </font>
    <font>
      <b/>
      <sz val="11"/>
      <color theme="0"/>
      <name val="Arial"/>
      <family val="2"/>
    </font>
    <font>
      <b/>
      <sz val="14"/>
      <color theme="0"/>
      <name val="Poppins"/>
    </font>
    <font>
      <b/>
      <sz val="11"/>
      <color theme="0"/>
      <name val="Poppins"/>
    </font>
    <font>
      <b/>
      <sz val="12"/>
      <name val="Calibri"/>
      <family val="2"/>
      <scheme val="minor"/>
    </font>
    <font>
      <b/>
      <sz val="16"/>
      <color theme="0"/>
      <name val="Poppins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88C60"/>
        <bgColor rgb="FFA88C60"/>
      </patternFill>
    </fill>
    <fill>
      <patternFill patternType="solid">
        <fgColor rgb="FFF3F3F3"/>
        <bgColor rgb="FFF3F3F3"/>
      </patternFill>
    </fill>
    <fill>
      <patternFill patternType="solid">
        <fgColor rgb="FFFAF3E8"/>
        <bgColor rgb="FFFAF3E8"/>
      </patternFill>
    </fill>
    <fill>
      <patternFill patternType="solid">
        <fgColor rgb="FF503C1E"/>
        <bgColor rgb="FF503C1E"/>
      </patternFill>
    </fill>
    <fill>
      <patternFill patternType="solid">
        <fgColor rgb="FFDED4C3"/>
        <bgColor rgb="FFDED4C3"/>
      </patternFill>
    </fill>
    <fill>
      <patternFill patternType="solid">
        <fgColor rgb="FF503C1E"/>
        <bgColor indexed="64"/>
      </patternFill>
    </fill>
    <fill>
      <patternFill patternType="solid">
        <fgColor rgb="FFDED4C3"/>
        <bgColor indexed="64"/>
      </patternFill>
    </fill>
    <fill>
      <patternFill patternType="solid">
        <fgColor rgb="FFFAF3E8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/>
    <xf numFmtId="0" fontId="1" fillId="0" borderId="24" xfId="0" applyFont="1" applyBorder="1"/>
    <xf numFmtId="3" fontId="1" fillId="0" borderId="0" xfId="0" applyNumberFormat="1" applyFont="1"/>
    <xf numFmtId="3" fontId="1" fillId="0" borderId="25" xfId="0" applyNumberFormat="1" applyFont="1" applyBorder="1"/>
    <xf numFmtId="3" fontId="1" fillId="0" borderId="1" xfId="0" applyNumberFormat="1" applyFont="1" applyBorder="1"/>
    <xf numFmtId="0" fontId="1" fillId="0" borderId="26" xfId="0" applyFont="1" applyBorder="1"/>
    <xf numFmtId="0" fontId="1" fillId="0" borderId="1" xfId="0" applyFont="1" applyBorder="1"/>
    <xf numFmtId="0" fontId="4" fillId="0" borderId="0" xfId="0" applyFont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15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18" xfId="0" applyFont="1" applyBorder="1" applyAlignment="1">
      <alignment horizontal="center" vertical="center"/>
    </xf>
    <xf numFmtId="3" fontId="1" fillId="0" borderId="31" xfId="0" applyNumberFormat="1" applyFont="1" applyBorder="1"/>
    <xf numFmtId="3" fontId="1" fillId="0" borderId="15" xfId="0" applyNumberFormat="1" applyFont="1" applyBorder="1"/>
    <xf numFmtId="3" fontId="1" fillId="0" borderId="27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7" fillId="0" borderId="0" xfId="0" applyFont="1"/>
    <xf numFmtId="0" fontId="1" fillId="0" borderId="40" xfId="0" applyFont="1" applyBorder="1"/>
    <xf numFmtId="0" fontId="1" fillId="0" borderId="41" xfId="0" applyFont="1" applyBorder="1"/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1" fontId="1" fillId="0" borderId="14" xfId="1" applyFont="1" applyBorder="1" applyAlignment="1">
      <alignment vertical="center"/>
    </xf>
    <xf numFmtId="41" fontId="1" fillId="0" borderId="15" xfId="1" applyFont="1" applyBorder="1" applyAlignment="1">
      <alignment vertical="center"/>
    </xf>
    <xf numFmtId="41" fontId="1" fillId="0" borderId="19" xfId="1" applyFont="1" applyBorder="1" applyAlignment="1">
      <alignment vertical="center"/>
    </xf>
    <xf numFmtId="41" fontId="1" fillId="0" borderId="18" xfId="1" applyFont="1" applyBorder="1" applyAlignment="1">
      <alignment vertical="center"/>
    </xf>
    <xf numFmtId="41" fontId="1" fillId="0" borderId="16" xfId="1" applyFont="1" applyBorder="1" applyAlignment="1">
      <alignment vertical="center"/>
    </xf>
    <xf numFmtId="41" fontId="1" fillId="0" borderId="20" xfId="1" applyFont="1" applyBorder="1" applyAlignment="1">
      <alignment vertical="center"/>
    </xf>
    <xf numFmtId="41" fontId="4" fillId="0" borderId="0" xfId="1" applyFont="1" applyAlignment="1">
      <alignment vertical="center"/>
    </xf>
    <xf numFmtId="41" fontId="0" fillId="0" borderId="0" xfId="1" applyFont="1"/>
    <xf numFmtId="41" fontId="0" fillId="0" borderId="0" xfId="0" applyNumberFormat="1"/>
    <xf numFmtId="41" fontId="0" fillId="0" borderId="1" xfId="0" applyNumberFormat="1" applyBorder="1"/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left"/>
    </xf>
    <xf numFmtId="41" fontId="0" fillId="0" borderId="2" xfId="1" applyFont="1" applyBorder="1"/>
    <xf numFmtId="41" fontId="6" fillId="0" borderId="2" xfId="1" applyFont="1" applyBorder="1"/>
    <xf numFmtId="0" fontId="10" fillId="0" borderId="2" xfId="0" applyFont="1" applyBorder="1" applyAlignment="1">
      <alignment horizontal="left" vertical="center"/>
    </xf>
    <xf numFmtId="41" fontId="10" fillId="0" borderId="0" xfId="1" applyFont="1" applyFill="1" applyBorder="1" applyAlignment="1"/>
    <xf numFmtId="15" fontId="1" fillId="0" borderId="15" xfId="0" applyNumberFormat="1" applyFont="1" applyBorder="1" applyAlignment="1">
      <alignment horizontal="left" vertical="center"/>
    </xf>
    <xf numFmtId="15" fontId="1" fillId="0" borderId="19" xfId="0" applyNumberFormat="1" applyFont="1" applyBorder="1" applyAlignment="1">
      <alignment horizontal="left" vertical="center"/>
    </xf>
    <xf numFmtId="41" fontId="4" fillId="0" borderId="0" xfId="0" applyNumberFormat="1" applyFont="1" applyAlignment="1">
      <alignment horizontal="left" vertical="center"/>
    </xf>
    <xf numFmtId="41" fontId="1" fillId="0" borderId="47" xfId="1" applyFont="1" applyBorder="1" applyAlignment="1">
      <alignment vertical="center"/>
    </xf>
    <xf numFmtId="41" fontId="1" fillId="0" borderId="48" xfId="1" applyFont="1" applyBorder="1" applyAlignment="1">
      <alignment vertical="center"/>
    </xf>
    <xf numFmtId="41" fontId="1" fillId="0" borderId="28" xfId="1" applyFont="1" applyBorder="1" applyAlignment="1">
      <alignment vertical="center"/>
    </xf>
    <xf numFmtId="41" fontId="1" fillId="0" borderId="29" xfId="1" applyFont="1" applyBorder="1" applyAlignment="1">
      <alignment vertical="center"/>
    </xf>
    <xf numFmtId="41" fontId="1" fillId="0" borderId="0" xfId="1" applyFont="1" applyBorder="1" applyAlignment="1">
      <alignment vertical="center"/>
    </xf>
    <xf numFmtId="41" fontId="1" fillId="0" borderId="16" xfId="0" applyNumberFormat="1" applyFont="1" applyBorder="1" applyAlignment="1">
      <alignment vertical="center"/>
    </xf>
    <xf numFmtId="41" fontId="1" fillId="0" borderId="50" xfId="1" applyFont="1" applyBorder="1" applyAlignment="1">
      <alignment vertical="center"/>
    </xf>
    <xf numFmtId="41" fontId="1" fillId="0" borderId="49" xfId="1" applyFont="1" applyBorder="1" applyAlignment="1">
      <alignment vertical="center"/>
    </xf>
    <xf numFmtId="41" fontId="1" fillId="2" borderId="0" xfId="0" applyNumberFormat="1" applyFont="1" applyFill="1" applyAlignment="1">
      <alignment horizontal="center" vertical="center" wrapText="1"/>
    </xf>
    <xf numFmtId="3" fontId="1" fillId="0" borderId="31" xfId="0" quotePrefix="1" applyNumberFormat="1" applyFont="1" applyBorder="1"/>
    <xf numFmtId="0" fontId="15" fillId="0" borderId="15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center"/>
    </xf>
    <xf numFmtId="3" fontId="1" fillId="0" borderId="52" xfId="0" applyNumberFormat="1" applyFont="1" applyBorder="1"/>
    <xf numFmtId="3" fontId="4" fillId="0" borderId="25" xfId="0" applyNumberFormat="1" applyFont="1" applyBorder="1"/>
    <xf numFmtId="3" fontId="4" fillId="0" borderId="51" xfId="0" applyNumberFormat="1" applyFont="1" applyBorder="1"/>
    <xf numFmtId="0" fontId="4" fillId="0" borderId="0" xfId="0" applyFont="1"/>
    <xf numFmtId="41" fontId="1" fillId="0" borderId="20" xfId="0" applyNumberFormat="1" applyFont="1" applyBorder="1" applyAlignment="1">
      <alignment vertical="center"/>
    </xf>
    <xf numFmtId="41" fontId="17" fillId="0" borderId="0" xfId="0" applyNumberFormat="1" applyFont="1" applyAlignment="1">
      <alignment vertical="center"/>
    </xf>
    <xf numFmtId="41" fontId="19" fillId="0" borderId="0" xfId="0" applyNumberFormat="1" applyFont="1" applyAlignment="1">
      <alignment vertical="center"/>
    </xf>
    <xf numFmtId="41" fontId="20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left" vertical="top"/>
    </xf>
    <xf numFmtId="0" fontId="1" fillId="0" borderId="31" xfId="0" applyFont="1" applyBorder="1" applyAlignment="1">
      <alignment horizontal="center" vertical="center"/>
    </xf>
    <xf numFmtId="166" fontId="1" fillId="0" borderId="0" xfId="0" applyNumberFormat="1" applyFont="1"/>
    <xf numFmtId="0" fontId="1" fillId="0" borderId="0" xfId="0" quotePrefix="1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/>
    <xf numFmtId="10" fontId="0" fillId="0" borderId="0" xfId="2" applyNumberFormat="1" applyFont="1"/>
    <xf numFmtId="10" fontId="0" fillId="0" borderId="1" xfId="2" applyNumberFormat="1" applyFont="1" applyBorder="1"/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168" fontId="27" fillId="5" borderId="0" xfId="0" applyNumberFormat="1" applyFont="1" applyFill="1" applyAlignment="1">
      <alignment vertical="center"/>
    </xf>
    <xf numFmtId="168" fontId="35" fillId="5" borderId="0" xfId="0" applyNumberFormat="1" applyFont="1" applyFill="1" applyAlignment="1">
      <alignment horizontal="center" vertical="center"/>
    </xf>
    <xf numFmtId="168" fontId="24" fillId="5" borderId="0" xfId="0" applyNumberFormat="1" applyFont="1" applyFill="1" applyAlignment="1">
      <alignment vertical="center"/>
    </xf>
    <xf numFmtId="0" fontId="28" fillId="7" borderId="0" xfId="0" applyFont="1" applyFill="1" applyAlignment="1">
      <alignment vertical="center"/>
    </xf>
    <xf numFmtId="168" fontId="24" fillId="5" borderId="0" xfId="0" applyNumberFormat="1" applyFont="1" applyFill="1" applyAlignment="1">
      <alignment horizontal="center" vertical="center"/>
    </xf>
    <xf numFmtId="0" fontId="28" fillId="7" borderId="21" xfId="0" applyFont="1" applyFill="1" applyBorder="1" applyAlignment="1">
      <alignment vertical="center"/>
    </xf>
    <xf numFmtId="0" fontId="28" fillId="7" borderId="22" xfId="0" applyFont="1" applyFill="1" applyBorder="1" applyAlignment="1">
      <alignment vertical="center"/>
    </xf>
    <xf numFmtId="0" fontId="28" fillId="7" borderId="23" xfId="0" applyFont="1" applyFill="1" applyBorder="1" applyAlignment="1">
      <alignment vertical="center"/>
    </xf>
    <xf numFmtId="168" fontId="27" fillId="5" borderId="24" xfId="0" applyNumberFormat="1" applyFont="1" applyFill="1" applyBorder="1" applyAlignment="1">
      <alignment vertical="center"/>
    </xf>
    <xf numFmtId="168" fontId="35" fillId="5" borderId="25" xfId="0" applyNumberFormat="1" applyFont="1" applyFill="1" applyBorder="1" applyAlignment="1">
      <alignment horizontal="center" vertical="center"/>
    </xf>
    <xf numFmtId="3" fontId="16" fillId="0" borderId="0" xfId="0" applyNumberFormat="1" applyFont="1"/>
    <xf numFmtId="0" fontId="28" fillId="7" borderId="24" xfId="0" applyFont="1" applyFill="1" applyBorder="1" applyAlignment="1">
      <alignment vertical="center"/>
    </xf>
    <xf numFmtId="0" fontId="28" fillId="7" borderId="25" xfId="0" applyFont="1" applyFill="1" applyBorder="1" applyAlignment="1">
      <alignment vertical="center"/>
    </xf>
    <xf numFmtId="3" fontId="16" fillId="0" borderId="0" xfId="0" applyNumberFormat="1" applyFont="1" applyAlignment="1">
      <alignment horizontal="center"/>
    </xf>
    <xf numFmtId="41" fontId="1" fillId="0" borderId="0" xfId="1" applyFont="1" applyBorder="1"/>
    <xf numFmtId="41" fontId="18" fillId="0" borderId="0" xfId="1" applyFont="1" applyBorder="1"/>
    <xf numFmtId="0" fontId="22" fillId="0" borderId="0" xfId="0" applyFont="1"/>
    <xf numFmtId="41" fontId="1" fillId="0" borderId="0" xfId="0" applyNumberFormat="1" applyFont="1"/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6" fillId="8" borderId="36" xfId="0" applyFont="1" applyFill="1" applyBorder="1"/>
    <xf numFmtId="0" fontId="36" fillId="8" borderId="43" xfId="0" applyFont="1" applyFill="1" applyBorder="1"/>
    <xf numFmtId="0" fontId="36" fillId="8" borderId="43" xfId="0" applyFont="1" applyFill="1" applyBorder="1" applyAlignment="1">
      <alignment horizontal="center"/>
    </xf>
    <xf numFmtId="0" fontId="36" fillId="8" borderId="37" xfId="0" applyFont="1" applyFill="1" applyBorder="1"/>
    <xf numFmtId="3" fontId="36" fillId="8" borderId="37" xfId="0" applyNumberFormat="1" applyFont="1" applyFill="1" applyBorder="1"/>
    <xf numFmtId="0" fontId="36" fillId="8" borderId="38" xfId="0" applyFont="1" applyFill="1" applyBorder="1"/>
    <xf numFmtId="0" fontId="7" fillId="0" borderId="24" xfId="0" applyFont="1" applyBorder="1" applyAlignment="1">
      <alignment horizontal="center"/>
    </xf>
    <xf numFmtId="0" fontId="0" fillId="0" borderId="25" xfId="0" applyBorder="1"/>
    <xf numFmtId="0" fontId="13" fillId="0" borderId="25" xfId="0" applyFont="1" applyBorder="1"/>
    <xf numFmtId="0" fontId="14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7" fillId="0" borderId="26" xfId="0" applyFont="1" applyBorder="1"/>
    <xf numFmtId="0" fontId="0" fillId="0" borderId="27" xfId="0" applyBorder="1"/>
    <xf numFmtId="0" fontId="7" fillId="9" borderId="45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0" fillId="10" borderId="0" xfId="0" applyFill="1"/>
    <xf numFmtId="0" fontId="7" fillId="10" borderId="0" xfId="0" applyFont="1" applyFill="1"/>
    <xf numFmtId="41" fontId="0" fillId="10" borderId="0" xfId="1" applyFont="1" applyFill="1" applyBorder="1"/>
    <xf numFmtId="41" fontId="0" fillId="10" borderId="0" xfId="0" applyNumberFormat="1" applyFill="1"/>
    <xf numFmtId="41" fontId="7" fillId="10" borderId="0" xfId="0" applyNumberFormat="1" applyFont="1" applyFill="1"/>
    <xf numFmtId="0" fontId="9" fillId="10" borderId="0" xfId="0" applyFont="1" applyFill="1"/>
    <xf numFmtId="41" fontId="10" fillId="10" borderId="0" xfId="1" applyFont="1" applyFill="1" applyBorder="1" applyAlignment="1"/>
    <xf numFmtId="41" fontId="7" fillId="10" borderId="0" xfId="1" applyFont="1" applyFill="1" applyBorder="1"/>
    <xf numFmtId="0" fontId="9" fillId="0" borderId="0" xfId="0" applyFont="1"/>
    <xf numFmtId="41" fontId="7" fillId="0" borderId="0" xfId="1" applyFont="1" applyFill="1" applyBorder="1"/>
    <xf numFmtId="0" fontId="7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1" fontId="0" fillId="0" borderId="0" xfId="1" applyFont="1" applyFill="1"/>
    <xf numFmtId="41" fontId="0" fillId="0" borderId="1" xfId="1" applyFont="1" applyFill="1" applyBorder="1"/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41" fontId="0" fillId="0" borderId="0" xfId="1" applyFont="1" applyFill="1" applyBorder="1"/>
    <xf numFmtId="167" fontId="0" fillId="0" borderId="1" xfId="1" applyNumberFormat="1" applyFont="1" applyBorder="1"/>
    <xf numFmtId="41" fontId="6" fillId="0" borderId="1" xfId="1" applyFont="1" applyFill="1" applyBorder="1"/>
    <xf numFmtId="41" fontId="0" fillId="0" borderId="1" xfId="1" applyFont="1" applyBorder="1"/>
    <xf numFmtId="0" fontId="40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9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1" fillId="9" borderId="53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170" fontId="30" fillId="5" borderId="0" xfId="0" applyNumberFormat="1" applyFont="1" applyFill="1" applyAlignment="1">
      <alignment horizontal="center" vertical="center"/>
    </xf>
    <xf numFmtId="168" fontId="27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9" fontId="24" fillId="4" borderId="0" xfId="0" applyNumberFormat="1" applyFont="1" applyFill="1" applyAlignment="1">
      <alignment horizontal="center" vertical="center"/>
    </xf>
    <xf numFmtId="164" fontId="29" fillId="6" borderId="0" xfId="0" applyNumberFormat="1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26" fillId="7" borderId="54" xfId="0" applyFont="1" applyFill="1" applyBorder="1" applyAlignment="1">
      <alignment horizontal="center" vertical="center"/>
    </xf>
    <xf numFmtId="0" fontId="33" fillId="3" borderId="56" xfId="0" applyFont="1" applyFill="1" applyBorder="1" applyAlignment="1">
      <alignment horizontal="center" vertical="center"/>
    </xf>
    <xf numFmtId="0" fontId="33" fillId="3" borderId="57" xfId="0" applyFont="1" applyFill="1" applyBorder="1" applyAlignment="1">
      <alignment horizontal="center" vertical="center"/>
    </xf>
    <xf numFmtId="0" fontId="28" fillId="7" borderId="59" xfId="0" applyFont="1" applyFill="1" applyBorder="1" applyAlignment="1">
      <alignment horizontal="center" vertical="center"/>
    </xf>
    <xf numFmtId="0" fontId="28" fillId="7" borderId="60" xfId="0" applyFont="1" applyFill="1" applyBorder="1" applyAlignment="1">
      <alignment horizontal="center" vertical="center"/>
    </xf>
    <xf numFmtId="168" fontId="27" fillId="5" borderId="55" xfId="0" applyNumberFormat="1" applyFont="1" applyFill="1" applyBorder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7" fillId="8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38" fillId="8" borderId="0" xfId="0" applyFont="1" applyFill="1" applyAlignment="1">
      <alignment horizontal="center" vertical="center"/>
    </xf>
    <xf numFmtId="0" fontId="12" fillId="9" borderId="44" xfId="0" applyFont="1" applyFill="1" applyBorder="1" applyAlignment="1">
      <alignment horizontal="center" vertical="center"/>
    </xf>
    <xf numFmtId="0" fontId="12" fillId="9" borderId="45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/>
    </xf>
    <xf numFmtId="0" fontId="9" fillId="9" borderId="39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1" fillId="9" borderId="21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9" fillId="9" borderId="44" xfId="0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0" fontId="37" fillId="8" borderId="21" xfId="0" applyFont="1" applyFill="1" applyBorder="1" applyAlignment="1">
      <alignment horizontal="center" vertical="center"/>
    </xf>
    <xf numFmtId="0" fontId="37" fillId="8" borderId="23" xfId="0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/>
    </xf>
    <xf numFmtId="0" fontId="31" fillId="10" borderId="25" xfId="0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3">
    <dxf>
      <font>
        <b/>
        <color rgb="FF99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4C3"/>
      <color rgb="FFFAF3E8"/>
      <color rgb="FF503C1E"/>
      <color rgb="FFFAF3E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Rec. Data System-Out'!A1"/><Relationship Id="rId2" Type="http://schemas.openxmlformats.org/officeDocument/2006/relationships/image" Target="../media/image1.png"/><Relationship Id="rId1" Type="http://schemas.openxmlformats.org/officeDocument/2006/relationships/hyperlink" Target="#'Rec. Data System-Out'!B714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5445</xdr:colOff>
      <xdr:row>2</xdr:row>
      <xdr:rowOff>173610</xdr:rowOff>
    </xdr:from>
    <xdr:to>
      <xdr:col>3</xdr:col>
      <xdr:colOff>91294</xdr:colOff>
      <xdr:row>7</xdr:row>
      <xdr:rowOff>91650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F4B18-A543-45FF-AE43-CEAC3B58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83" y="530798"/>
          <a:ext cx="1407442" cy="1203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148590</xdr:rowOff>
    </xdr:from>
    <xdr:to>
      <xdr:col>2</xdr:col>
      <xdr:colOff>156090</xdr:colOff>
      <xdr:row>1</xdr:row>
      <xdr:rowOff>662940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3C1A5-9FD7-414A-90A9-658EEE7C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148590"/>
          <a:ext cx="874275" cy="695325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885</xdr:row>
      <xdr:rowOff>9525</xdr:rowOff>
    </xdr:from>
    <xdr:to>
      <xdr:col>2</xdr:col>
      <xdr:colOff>409575</xdr:colOff>
      <xdr:row>887</xdr:row>
      <xdr:rowOff>47625</xdr:rowOff>
    </xdr:to>
    <xdr:sp macro="" textlink="">
      <xdr:nvSpPr>
        <xdr:cNvPr id="4" name="Arrow: Lef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EBCBE9-D299-3EBB-7F19-2E0C2D81146B}"/>
            </a:ext>
          </a:extLst>
        </xdr:cNvPr>
        <xdr:cNvSpPr/>
      </xdr:nvSpPr>
      <xdr:spPr>
        <a:xfrm>
          <a:off x="419100" y="143103600"/>
          <a:ext cx="533400" cy="400050"/>
        </a:xfrm>
        <a:prstGeom prst="leftArrow">
          <a:avLst/>
        </a:prstGeom>
        <a:solidFill>
          <a:srgbClr val="00B0F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kern="1200"/>
            <a:t>KLIK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1924</xdr:colOff>
      <xdr:row>0</xdr:row>
      <xdr:rowOff>178953</xdr:rowOff>
    </xdr:from>
    <xdr:to>
      <xdr:col>2</xdr:col>
      <xdr:colOff>25015</xdr:colOff>
      <xdr:row>4</xdr:row>
      <xdr:rowOff>40407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82380-9888-494A-8315-F55F1EAB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03" y="178953"/>
          <a:ext cx="850515" cy="736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39"/>
  <sheetViews>
    <sheetView showGridLines="0" tabSelected="1" topLeftCell="B10" zoomScale="80" zoomScaleNormal="80" workbookViewId="0">
      <selection activeCell="B4" sqref="B4:W38"/>
    </sheetView>
  </sheetViews>
  <sheetFormatPr defaultColWidth="9.140625" defaultRowHeight="14.25" x14ac:dyDescent="0.25"/>
  <cols>
    <col min="1" max="1" width="2" style="1" customWidth="1"/>
    <col min="2" max="2" width="5.28515625" style="2" customWidth="1"/>
    <col min="3" max="3" width="14.42578125" style="1" customWidth="1"/>
    <col min="4" max="4" width="17.7109375" style="1" customWidth="1"/>
    <col min="5" max="5" width="18.5703125" style="1" customWidth="1"/>
    <col min="6" max="6" width="12.42578125" style="1" customWidth="1"/>
    <col min="7" max="7" width="12.28515625" style="1" customWidth="1"/>
    <col min="8" max="8" width="18.5703125" style="1" customWidth="1"/>
    <col min="9" max="9" width="18.42578125" style="1" bestFit="1" customWidth="1"/>
    <col min="10" max="10" width="6.28515625" style="1" bestFit="1" customWidth="1"/>
    <col min="11" max="11" width="16.140625" style="1" customWidth="1"/>
    <col min="12" max="12" width="6.28515625" style="1" bestFit="1" customWidth="1"/>
    <col min="13" max="13" width="15.7109375" style="1" customWidth="1"/>
    <col min="14" max="14" width="18.42578125" style="1" bestFit="1" customWidth="1"/>
    <col min="15" max="15" width="18.85546875" style="1" customWidth="1"/>
    <col min="16" max="16" width="16.140625" style="1" customWidth="1"/>
    <col min="17" max="17" width="18.140625" style="1" customWidth="1"/>
    <col min="18" max="18" width="17" style="1" bestFit="1" customWidth="1"/>
    <col min="19" max="19" width="17.5703125" style="1" customWidth="1"/>
    <col min="20" max="20" width="16.85546875" style="1" customWidth="1"/>
    <col min="21" max="21" width="17.7109375" style="1" customWidth="1"/>
    <col min="22" max="22" width="15.42578125" style="1" customWidth="1"/>
    <col min="23" max="23" width="17.7109375" style="1" customWidth="1"/>
    <col min="24" max="16384" width="9.140625" style="1"/>
  </cols>
  <sheetData>
    <row r="4" spans="2:28" ht="38.450000000000003" customHeight="1" x14ac:dyDescent="0.25">
      <c r="B4" s="164" t="s">
        <v>13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AB4" s="18" t="s">
        <v>29</v>
      </c>
    </row>
    <row r="5" spans="2:28" ht="20.45" customHeight="1" x14ac:dyDescent="0.25">
      <c r="B5" s="165" t="s">
        <v>172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AB5" s="18" t="s">
        <v>30</v>
      </c>
    </row>
    <row r="6" spans="2:28" x14ac:dyDescent="0.25">
      <c r="B6" s="166" t="s">
        <v>14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</row>
    <row r="7" spans="2:28" x14ac:dyDescent="0.25">
      <c r="B7" s="166" t="s">
        <v>15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</row>
    <row r="8" spans="2:28" ht="22.15" customHeight="1" x14ac:dyDescent="0.25">
      <c r="B8" s="150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2:28" ht="22.15" customHeight="1" x14ac:dyDescent="0.25"/>
    <row r="10" spans="2:28" ht="18" x14ac:dyDescent="0.25">
      <c r="B10" s="3" t="s">
        <v>20</v>
      </c>
      <c r="D10" s="4" t="s">
        <v>207</v>
      </c>
      <c r="G10" s="4"/>
      <c r="S10" s="159" t="s">
        <v>112</v>
      </c>
      <c r="T10" s="79">
        <v>2024</v>
      </c>
      <c r="U10" s="13"/>
      <c r="V10" s="13"/>
    </row>
    <row r="11" spans="2:28" ht="18.75" thickBot="1" x14ac:dyDescent="0.3">
      <c r="B11" s="3"/>
      <c r="G11" s="4"/>
      <c r="T11" s="8"/>
      <c r="U11" s="8"/>
      <c r="V11" s="8"/>
    </row>
    <row r="12" spans="2:28" ht="30" customHeight="1" x14ac:dyDescent="0.25">
      <c r="B12" s="167" t="s">
        <v>1</v>
      </c>
      <c r="C12" s="169" t="s">
        <v>0</v>
      </c>
      <c r="D12" s="173" t="s">
        <v>2</v>
      </c>
      <c r="E12" s="174"/>
      <c r="F12" s="175" t="s">
        <v>138</v>
      </c>
      <c r="G12" s="171" t="s">
        <v>99</v>
      </c>
      <c r="H12" s="180" t="s">
        <v>3</v>
      </c>
      <c r="I12" s="181"/>
      <c r="J12" s="181"/>
      <c r="K12" s="181"/>
      <c r="L12" s="181"/>
      <c r="M12" s="182"/>
      <c r="N12" s="180" t="s">
        <v>12</v>
      </c>
      <c r="O12" s="183"/>
      <c r="P12" s="183"/>
      <c r="Q12" s="182"/>
      <c r="R12" s="174" t="s">
        <v>8</v>
      </c>
      <c r="S12" s="169"/>
      <c r="T12" s="169"/>
      <c r="U12" s="173"/>
      <c r="V12" s="173"/>
      <c r="W12" s="179"/>
    </row>
    <row r="13" spans="2:28" s="5" customFormat="1" ht="28.5" x14ac:dyDescent="0.25">
      <c r="B13" s="168"/>
      <c r="C13" s="170"/>
      <c r="D13" s="154" t="s">
        <v>98</v>
      </c>
      <c r="E13" s="154" t="s">
        <v>107</v>
      </c>
      <c r="F13" s="176"/>
      <c r="G13" s="172"/>
      <c r="H13" s="152" t="s">
        <v>100</v>
      </c>
      <c r="I13" s="153" t="s">
        <v>4</v>
      </c>
      <c r="J13" s="153" t="s">
        <v>5</v>
      </c>
      <c r="K13" s="153" t="s">
        <v>6</v>
      </c>
      <c r="L13" s="153" t="s">
        <v>7</v>
      </c>
      <c r="M13" s="155" t="s">
        <v>11</v>
      </c>
      <c r="N13" s="152" t="s">
        <v>101</v>
      </c>
      <c r="O13" s="153" t="s">
        <v>102</v>
      </c>
      <c r="P13" s="156" t="s">
        <v>146</v>
      </c>
      <c r="Q13" s="155" t="s">
        <v>17</v>
      </c>
      <c r="R13" s="157" t="s">
        <v>9</v>
      </c>
      <c r="S13" s="153" t="s">
        <v>103</v>
      </c>
      <c r="T13" s="153" t="s">
        <v>104</v>
      </c>
      <c r="U13" s="158" t="s">
        <v>34</v>
      </c>
      <c r="V13" s="158" t="s">
        <v>105</v>
      </c>
      <c r="W13" s="155" t="s">
        <v>106</v>
      </c>
    </row>
    <row r="14" spans="2:28" s="5" customFormat="1" x14ac:dyDescent="0.25">
      <c r="B14" s="14"/>
      <c r="C14" s="15"/>
      <c r="D14" s="15"/>
      <c r="E14" s="16"/>
      <c r="F14" s="16"/>
      <c r="G14" s="15"/>
      <c r="H14" s="14"/>
      <c r="I14" s="16"/>
      <c r="J14" s="16"/>
      <c r="K14" s="16"/>
      <c r="L14" s="16"/>
      <c r="M14" s="17"/>
      <c r="N14" s="14"/>
      <c r="O14" s="16"/>
      <c r="P14" s="16"/>
      <c r="Q14" s="17"/>
      <c r="R14" s="16"/>
      <c r="S14" s="16"/>
      <c r="T14" s="16"/>
      <c r="U14" s="16"/>
      <c r="V14" s="16"/>
      <c r="W14" s="17"/>
    </row>
    <row r="15" spans="2:28" s="5" customFormat="1" x14ac:dyDescent="0.25">
      <c r="B15" s="14"/>
      <c r="C15" s="15"/>
      <c r="D15" s="15"/>
      <c r="E15" s="16"/>
      <c r="F15" s="16"/>
      <c r="G15" s="15"/>
      <c r="H15" s="14"/>
      <c r="I15" s="16"/>
      <c r="J15" s="16"/>
      <c r="K15" s="16"/>
      <c r="L15" s="16"/>
      <c r="M15" s="17"/>
      <c r="N15" s="14"/>
      <c r="O15" s="16"/>
      <c r="P15" s="16"/>
      <c r="Q15" s="17"/>
      <c r="R15" s="16"/>
      <c r="S15" s="16"/>
      <c r="T15" s="16"/>
      <c r="U15" s="16"/>
      <c r="V15" s="16"/>
      <c r="W15" s="17"/>
    </row>
    <row r="16" spans="2:28" ht="21.75" customHeight="1" x14ac:dyDescent="0.25">
      <c r="B16" s="9">
        <v>1</v>
      </c>
      <c r="C16" s="77" t="s">
        <v>95</v>
      </c>
      <c r="D16" s="10" t="s">
        <v>213</v>
      </c>
      <c r="E16" s="10" t="s">
        <v>214</v>
      </c>
      <c r="F16" s="10" t="s">
        <v>215</v>
      </c>
      <c r="G16" s="64">
        <v>45323</v>
      </c>
      <c r="H16" s="47">
        <f>I16+K16+M16</f>
        <v>36495122</v>
      </c>
      <c r="I16" s="48">
        <v>34388577</v>
      </c>
      <c r="J16" s="10">
        <v>49</v>
      </c>
      <c r="K16" s="48">
        <v>2106545</v>
      </c>
      <c r="L16" s="10">
        <v>23</v>
      </c>
      <c r="M16" s="51"/>
      <c r="N16" s="47">
        <v>34388577</v>
      </c>
      <c r="O16" s="73">
        <v>2106545</v>
      </c>
      <c r="P16" s="67"/>
      <c r="Q16" s="72">
        <f>N16+O16+P16</f>
        <v>36495122</v>
      </c>
      <c r="R16" s="47">
        <v>2106545</v>
      </c>
      <c r="S16" s="48">
        <v>4509222</v>
      </c>
      <c r="T16" s="48">
        <v>100000</v>
      </c>
      <c r="U16" s="48">
        <v>277751</v>
      </c>
      <c r="V16" s="69">
        <v>100000</v>
      </c>
      <c r="W16" s="51">
        <v>2400000</v>
      </c>
    </row>
    <row r="17" spans="2:23" ht="21.75" customHeight="1" x14ac:dyDescent="0.25">
      <c r="B17" s="9">
        <v>2</v>
      </c>
      <c r="C17" s="77" t="s">
        <v>67</v>
      </c>
      <c r="D17" s="10" t="s">
        <v>238</v>
      </c>
      <c r="E17" s="10" t="s">
        <v>239</v>
      </c>
      <c r="F17" s="10" t="s">
        <v>240</v>
      </c>
      <c r="G17" s="64">
        <v>45358</v>
      </c>
      <c r="H17" s="47">
        <f t="shared" ref="H17:H27" si="0">I17+K17+M17</f>
        <v>73893942</v>
      </c>
      <c r="I17" s="48">
        <v>69280726</v>
      </c>
      <c r="J17" s="10">
        <v>50</v>
      </c>
      <c r="K17" s="48">
        <v>4613216</v>
      </c>
      <c r="L17" s="10">
        <v>21</v>
      </c>
      <c r="M17" s="51"/>
      <c r="N17" s="47">
        <v>69280726</v>
      </c>
      <c r="O17" s="73">
        <v>4613216</v>
      </c>
      <c r="P17" s="67"/>
      <c r="Q17" s="72">
        <f t="shared" ref="Q17:Q27" si="1">N17+O17+P17</f>
        <v>73893942</v>
      </c>
      <c r="R17" s="47">
        <v>4613216</v>
      </c>
      <c r="S17" s="48">
        <v>36074547</v>
      </c>
      <c r="T17" s="48">
        <v>27380000</v>
      </c>
      <c r="U17" s="48">
        <v>3552500</v>
      </c>
      <c r="V17" s="69">
        <v>2581000</v>
      </c>
      <c r="W17" s="51">
        <v>3058000</v>
      </c>
    </row>
    <row r="18" spans="2:23" ht="21.75" customHeight="1" x14ac:dyDescent="0.25">
      <c r="B18" s="9">
        <v>3</v>
      </c>
      <c r="C18" s="77" t="s">
        <v>68</v>
      </c>
      <c r="D18" s="10" t="s">
        <v>277</v>
      </c>
      <c r="E18" s="10" t="s">
        <v>278</v>
      </c>
      <c r="F18" s="10" t="s">
        <v>279</v>
      </c>
      <c r="G18" s="64">
        <v>45382</v>
      </c>
      <c r="H18" s="47">
        <f t="shared" si="0"/>
        <v>63128929</v>
      </c>
      <c r="I18" s="48">
        <v>61231814</v>
      </c>
      <c r="J18" s="10">
        <v>58</v>
      </c>
      <c r="K18" s="48">
        <v>1897115</v>
      </c>
      <c r="L18" s="10">
        <v>19</v>
      </c>
      <c r="M18" s="51"/>
      <c r="N18" s="47">
        <v>61231814</v>
      </c>
      <c r="O18" s="73">
        <v>1897115</v>
      </c>
      <c r="P18" s="67"/>
      <c r="Q18" s="72">
        <f t="shared" si="1"/>
        <v>63128929</v>
      </c>
      <c r="R18" s="47">
        <v>1897115</v>
      </c>
      <c r="S18" s="48">
        <v>24397399</v>
      </c>
      <c r="T18" s="48">
        <v>33034000</v>
      </c>
      <c r="U18" s="48">
        <v>1345000</v>
      </c>
      <c r="V18" s="69">
        <v>732000</v>
      </c>
      <c r="W18" s="51">
        <v>5085040</v>
      </c>
    </row>
    <row r="19" spans="2:23" ht="21.75" customHeight="1" x14ac:dyDescent="0.25">
      <c r="B19" s="9">
        <v>4</v>
      </c>
      <c r="C19" s="77" t="s">
        <v>96</v>
      </c>
      <c r="D19" s="10" t="s">
        <v>348</v>
      </c>
      <c r="E19" s="10" t="s">
        <v>349</v>
      </c>
      <c r="F19" s="10" t="s">
        <v>350</v>
      </c>
      <c r="G19" s="64">
        <v>45411</v>
      </c>
      <c r="H19" s="47">
        <f t="shared" si="0"/>
        <v>63670859</v>
      </c>
      <c r="I19" s="48">
        <v>62082393</v>
      </c>
      <c r="J19" s="10">
        <v>47</v>
      </c>
      <c r="K19" s="48">
        <v>1588466</v>
      </c>
      <c r="L19" s="10">
        <v>19</v>
      </c>
      <c r="M19" s="51"/>
      <c r="N19" s="47">
        <v>62082393</v>
      </c>
      <c r="O19" s="73">
        <v>1588466</v>
      </c>
      <c r="P19" s="67"/>
      <c r="Q19" s="72">
        <f t="shared" si="1"/>
        <v>63670859</v>
      </c>
      <c r="R19" s="47">
        <v>1588466</v>
      </c>
      <c r="S19" s="48">
        <v>21310816</v>
      </c>
      <c r="T19" s="48">
        <v>1100000</v>
      </c>
      <c r="U19" s="48">
        <v>16039795</v>
      </c>
      <c r="V19" s="69">
        <v>600000</v>
      </c>
      <c r="W19" s="51">
        <v>2648120</v>
      </c>
    </row>
    <row r="20" spans="2:23" ht="21" customHeight="1" x14ac:dyDescent="0.25">
      <c r="B20" s="9">
        <v>5</v>
      </c>
      <c r="C20" s="77" t="s">
        <v>70</v>
      </c>
      <c r="D20" s="10" t="s">
        <v>398</v>
      </c>
      <c r="E20" s="10" t="s">
        <v>399</v>
      </c>
      <c r="F20" s="10" t="s">
        <v>400</v>
      </c>
      <c r="G20" s="64">
        <v>45442</v>
      </c>
      <c r="H20" s="47">
        <f t="shared" si="0"/>
        <v>39684532</v>
      </c>
      <c r="I20" s="48">
        <v>37687853</v>
      </c>
      <c r="J20" s="10">
        <v>49</v>
      </c>
      <c r="K20" s="48">
        <v>1996679</v>
      </c>
      <c r="L20" s="10">
        <v>19</v>
      </c>
      <c r="M20" s="51"/>
      <c r="N20" s="47">
        <v>37687853</v>
      </c>
      <c r="O20" s="73">
        <v>1996679</v>
      </c>
      <c r="P20" s="67"/>
      <c r="Q20" s="72">
        <f t="shared" si="1"/>
        <v>39684532</v>
      </c>
      <c r="R20" s="47">
        <v>1996679</v>
      </c>
      <c r="S20" s="48">
        <v>10217270</v>
      </c>
      <c r="T20" s="48">
        <v>3900000</v>
      </c>
      <c r="U20" s="48">
        <v>32466000</v>
      </c>
      <c r="V20" s="69">
        <v>350000</v>
      </c>
      <c r="W20" s="51">
        <v>5729000</v>
      </c>
    </row>
    <row r="21" spans="2:23" ht="21.75" customHeight="1" x14ac:dyDescent="0.25">
      <c r="B21" s="9">
        <v>6</v>
      </c>
      <c r="C21" s="77" t="s">
        <v>97</v>
      </c>
      <c r="D21" s="10" t="s">
        <v>436</v>
      </c>
      <c r="E21" s="10" t="s">
        <v>437</v>
      </c>
      <c r="F21" s="10" t="s">
        <v>438</v>
      </c>
      <c r="G21" s="64">
        <v>45468</v>
      </c>
      <c r="H21" s="47">
        <f t="shared" si="0"/>
        <v>61483678</v>
      </c>
      <c r="I21" s="48">
        <v>59067101</v>
      </c>
      <c r="J21" s="10">
        <v>55</v>
      </c>
      <c r="K21" s="48">
        <v>2416577</v>
      </c>
      <c r="L21" s="10">
        <v>22</v>
      </c>
      <c r="M21" s="51"/>
      <c r="N21" s="47">
        <v>59067101</v>
      </c>
      <c r="O21" s="73">
        <v>2416577</v>
      </c>
      <c r="P21" s="67"/>
      <c r="Q21" s="72">
        <f t="shared" si="1"/>
        <v>61483678</v>
      </c>
      <c r="R21" s="47">
        <v>2416577</v>
      </c>
      <c r="S21" s="48">
        <v>16426150</v>
      </c>
      <c r="T21" s="48">
        <v>590000</v>
      </c>
      <c r="U21" s="48">
        <v>69316843</v>
      </c>
      <c r="V21" s="69">
        <v>667000</v>
      </c>
      <c r="W21" s="51">
        <v>4460000</v>
      </c>
    </row>
    <row r="22" spans="2:23" ht="21.75" customHeight="1" x14ac:dyDescent="0.25">
      <c r="B22" s="9">
        <v>7</v>
      </c>
      <c r="C22" s="77" t="s">
        <v>72</v>
      </c>
      <c r="D22" s="10" t="s">
        <v>501</v>
      </c>
      <c r="E22" s="10" t="s">
        <v>502</v>
      </c>
      <c r="F22" s="10" t="s">
        <v>503</v>
      </c>
      <c r="G22" s="64">
        <v>45509</v>
      </c>
      <c r="H22" s="47">
        <f t="shared" si="0"/>
        <v>59838782</v>
      </c>
      <c r="I22" s="48">
        <v>58319968</v>
      </c>
      <c r="J22" s="10">
        <v>48</v>
      </c>
      <c r="K22" s="48">
        <v>1518814</v>
      </c>
      <c r="L22" s="10">
        <v>17</v>
      </c>
      <c r="M22" s="51"/>
      <c r="N22" s="47">
        <v>58319968</v>
      </c>
      <c r="O22" s="73">
        <v>1518814</v>
      </c>
      <c r="P22" s="67"/>
      <c r="Q22" s="72">
        <f t="shared" si="1"/>
        <v>59838782</v>
      </c>
      <c r="R22" s="47">
        <v>1518814</v>
      </c>
      <c r="S22" s="48">
        <v>19074884</v>
      </c>
      <c r="T22" s="48"/>
      <c r="U22" s="48">
        <v>34021000</v>
      </c>
      <c r="V22" s="69">
        <v>1178000</v>
      </c>
      <c r="W22" s="51">
        <v>5772000</v>
      </c>
    </row>
    <row r="23" spans="2:23" ht="21.75" customHeight="1" x14ac:dyDescent="0.25">
      <c r="B23" s="9">
        <v>8</v>
      </c>
      <c r="C23" s="77" t="s">
        <v>73</v>
      </c>
      <c r="D23" s="10" t="s">
        <v>541</v>
      </c>
      <c r="E23" s="10" t="s">
        <v>542</v>
      </c>
      <c r="F23" s="10" t="s">
        <v>543</v>
      </c>
      <c r="G23" s="64">
        <v>45544</v>
      </c>
      <c r="H23" s="47">
        <f t="shared" si="0"/>
        <v>97945981</v>
      </c>
      <c r="I23" s="48">
        <v>96035088</v>
      </c>
      <c r="J23" s="10">
        <v>66</v>
      </c>
      <c r="K23" s="48">
        <v>1910893</v>
      </c>
      <c r="L23" s="10">
        <v>19</v>
      </c>
      <c r="M23" s="51"/>
      <c r="N23" s="47">
        <v>96035088</v>
      </c>
      <c r="O23" s="73">
        <v>1910893</v>
      </c>
      <c r="P23" s="67"/>
      <c r="Q23" s="72">
        <f t="shared" si="1"/>
        <v>97945981</v>
      </c>
      <c r="R23" s="47">
        <v>1910893</v>
      </c>
      <c r="S23" s="48">
        <v>11439387</v>
      </c>
      <c r="T23" s="48"/>
      <c r="U23" s="48">
        <v>32181077</v>
      </c>
      <c r="V23" s="69">
        <v>859000</v>
      </c>
      <c r="W23" s="51">
        <v>46114923</v>
      </c>
    </row>
    <row r="24" spans="2:23" ht="21.75" customHeight="1" x14ac:dyDescent="0.25">
      <c r="B24" s="9">
        <v>9</v>
      </c>
      <c r="C24" s="77" t="s">
        <v>74</v>
      </c>
      <c r="D24" s="10" t="s">
        <v>596</v>
      </c>
      <c r="E24" s="10" t="s">
        <v>597</v>
      </c>
      <c r="F24" s="10" t="s">
        <v>598</v>
      </c>
      <c r="G24" s="64">
        <v>45566</v>
      </c>
      <c r="H24" s="47">
        <f t="shared" si="0"/>
        <v>43324762</v>
      </c>
      <c r="I24" s="48">
        <v>41951324</v>
      </c>
      <c r="J24" s="10">
        <v>49</v>
      </c>
      <c r="K24" s="48">
        <v>1373438</v>
      </c>
      <c r="L24" s="10">
        <v>12</v>
      </c>
      <c r="M24" s="51"/>
      <c r="N24" s="47">
        <v>41951324</v>
      </c>
      <c r="O24" s="73">
        <v>1373438</v>
      </c>
      <c r="P24" s="67"/>
      <c r="Q24" s="72">
        <f t="shared" si="1"/>
        <v>43324762</v>
      </c>
      <c r="R24" s="47">
        <v>1373438</v>
      </c>
      <c r="S24" s="48">
        <v>22111795</v>
      </c>
      <c r="T24" s="48"/>
      <c r="U24" s="48">
        <v>148842875</v>
      </c>
      <c r="V24" s="69">
        <v>834000</v>
      </c>
      <c r="W24" s="51">
        <v>61702137</v>
      </c>
    </row>
    <row r="25" spans="2:23" ht="21" customHeight="1" x14ac:dyDescent="0.25">
      <c r="B25" s="9">
        <v>10</v>
      </c>
      <c r="C25" s="77" t="s">
        <v>75</v>
      </c>
      <c r="D25" s="10" t="s">
        <v>665</v>
      </c>
      <c r="E25" s="10" t="s">
        <v>724</v>
      </c>
      <c r="F25" s="10">
        <v>7593.7740999999996</v>
      </c>
      <c r="G25" s="64">
        <v>45596</v>
      </c>
      <c r="H25" s="47">
        <f t="shared" si="0"/>
        <v>127961789</v>
      </c>
      <c r="I25" s="48">
        <v>126324735</v>
      </c>
      <c r="J25" s="10">
        <v>56</v>
      </c>
      <c r="K25" s="48">
        <v>1637054</v>
      </c>
      <c r="L25" s="10">
        <v>19</v>
      </c>
      <c r="M25" s="51"/>
      <c r="N25" s="47">
        <v>126324735</v>
      </c>
      <c r="O25" s="73">
        <v>1637054</v>
      </c>
      <c r="P25" s="67"/>
      <c r="Q25" s="72">
        <f t="shared" si="1"/>
        <v>127961789</v>
      </c>
      <c r="R25" s="47">
        <v>1637054</v>
      </c>
      <c r="S25" s="48">
        <v>66742440</v>
      </c>
      <c r="T25" s="48"/>
      <c r="U25" s="48">
        <v>79000</v>
      </c>
      <c r="V25" s="69">
        <v>1856000</v>
      </c>
      <c r="W25" s="51">
        <v>18141313</v>
      </c>
    </row>
    <row r="26" spans="2:23" ht="21" customHeight="1" x14ac:dyDescent="0.25">
      <c r="B26" s="9">
        <v>11</v>
      </c>
      <c r="C26" s="77" t="s">
        <v>76</v>
      </c>
      <c r="D26" s="10" t="s">
        <v>725</v>
      </c>
      <c r="E26" s="10" t="s">
        <v>726</v>
      </c>
      <c r="F26" s="10" t="s">
        <v>727</v>
      </c>
      <c r="G26" s="64">
        <v>45627</v>
      </c>
      <c r="H26" s="47">
        <f t="shared" si="0"/>
        <v>88775691</v>
      </c>
      <c r="I26" s="48">
        <v>86984175</v>
      </c>
      <c r="J26" s="10">
        <v>53</v>
      </c>
      <c r="K26" s="48">
        <v>1791516</v>
      </c>
      <c r="L26" s="10">
        <v>18</v>
      </c>
      <c r="M26" s="51"/>
      <c r="N26" s="47">
        <v>86984175</v>
      </c>
      <c r="O26" s="73">
        <v>1791516</v>
      </c>
      <c r="P26" s="67"/>
      <c r="Q26" s="72">
        <f t="shared" si="1"/>
        <v>88775691</v>
      </c>
      <c r="R26" s="47">
        <v>1791516</v>
      </c>
      <c r="S26" s="48">
        <v>25668172</v>
      </c>
      <c r="T26" s="48"/>
      <c r="U26" s="48">
        <v>125000</v>
      </c>
      <c r="V26" s="69">
        <v>728000</v>
      </c>
      <c r="W26" s="51">
        <v>72422145</v>
      </c>
    </row>
    <row r="27" spans="2:23" ht="21.75" customHeight="1" thickBot="1" x14ac:dyDescent="0.3">
      <c r="B27" s="34">
        <v>12</v>
      </c>
      <c r="C27" s="78" t="s">
        <v>77</v>
      </c>
      <c r="D27" s="11" t="s">
        <v>785</v>
      </c>
      <c r="E27" s="11" t="s">
        <v>786</v>
      </c>
      <c r="F27" s="11" t="s">
        <v>787</v>
      </c>
      <c r="G27" s="65">
        <v>45655</v>
      </c>
      <c r="H27" s="50">
        <f t="shared" si="0"/>
        <v>48647552</v>
      </c>
      <c r="I27" s="49">
        <v>47101210</v>
      </c>
      <c r="J27" s="12">
        <v>53</v>
      </c>
      <c r="K27" s="49">
        <v>1546342</v>
      </c>
      <c r="L27" s="12">
        <v>17</v>
      </c>
      <c r="M27" s="52"/>
      <c r="N27" s="50">
        <v>47101210</v>
      </c>
      <c r="O27" s="74">
        <v>1546342</v>
      </c>
      <c r="P27" s="68"/>
      <c r="Q27" s="85">
        <f t="shared" si="1"/>
        <v>48647552</v>
      </c>
      <c r="R27" s="50">
        <v>1546342</v>
      </c>
      <c r="S27" s="49">
        <v>61304315</v>
      </c>
      <c r="T27" s="49"/>
      <c r="U27" s="49">
        <v>2358122</v>
      </c>
      <c r="V27" s="70">
        <v>640000</v>
      </c>
      <c r="W27" s="52">
        <v>7825000</v>
      </c>
    </row>
    <row r="28" spans="2:23" x14ac:dyDescent="0.25">
      <c r="E28" s="2"/>
      <c r="F28" s="2"/>
      <c r="G28" s="3"/>
      <c r="J28" s="2"/>
      <c r="L28" s="2"/>
      <c r="Q28" s="86">
        <f>SUM(Q16:Q27)</f>
        <v>804851619</v>
      </c>
    </row>
    <row r="29" spans="2:23" s="6" customFormat="1" ht="22.5" customHeight="1" x14ac:dyDescent="0.25">
      <c r="B29" s="7"/>
      <c r="D29" s="6" t="s">
        <v>19</v>
      </c>
      <c r="G29" s="26" t="s">
        <v>17</v>
      </c>
      <c r="H29" s="66">
        <f>SUM(H16:H27)</f>
        <v>804851619</v>
      </c>
      <c r="I29" s="53">
        <f>SUM(I14:I27)</f>
        <v>780454964</v>
      </c>
      <c r="J29" s="53"/>
      <c r="K29" s="53">
        <f>SUM(K14:K27)</f>
        <v>24396655</v>
      </c>
      <c r="L29" s="53"/>
      <c r="M29" s="53">
        <f>SUM(M14:M27)</f>
        <v>0</v>
      </c>
      <c r="N29" s="53">
        <f>SUM(N16:N28)</f>
        <v>780454964</v>
      </c>
      <c r="O29" s="53">
        <f>SUM(O16:O27)</f>
        <v>24396655</v>
      </c>
      <c r="P29" s="53">
        <f>SUM(P16:P27)</f>
        <v>0</v>
      </c>
      <c r="Q29" s="16" t="str">
        <f>IF(N29=I29,"Sama","Kurang Bayar")</f>
        <v>Sama</v>
      </c>
      <c r="R29" s="53">
        <f t="shared" ref="R29:W29" si="2">SUM(R14:R27)</f>
        <v>24396655</v>
      </c>
      <c r="S29" s="53">
        <f t="shared" si="2"/>
        <v>319276397</v>
      </c>
      <c r="T29" s="53">
        <f t="shared" si="2"/>
        <v>66104000</v>
      </c>
      <c r="U29" s="53">
        <f t="shared" si="2"/>
        <v>340604963</v>
      </c>
      <c r="V29" s="53">
        <f t="shared" si="2"/>
        <v>11125000</v>
      </c>
      <c r="W29" s="53">
        <f t="shared" si="2"/>
        <v>235357678</v>
      </c>
    </row>
    <row r="30" spans="2:23" ht="22.5" customHeight="1" x14ac:dyDescent="0.25">
      <c r="G30" s="6" t="s">
        <v>18</v>
      </c>
      <c r="H30" s="6"/>
      <c r="J30" s="7">
        <f>SUM(J16:J27)</f>
        <v>633</v>
      </c>
      <c r="L30" s="7">
        <f>SUM(L16:L27)</f>
        <v>225</v>
      </c>
      <c r="Q30" s="75" t="str">
        <f>IF(O29+P29=K29+M29,"Sama","Kurang Bayar")</f>
        <v>Sama</v>
      </c>
    </row>
    <row r="33" spans="2:23" ht="18" x14ac:dyDescent="0.25">
      <c r="B33" s="3"/>
      <c r="G33" s="4"/>
      <c r="Q33" s="87">
        <f>I29-N29</f>
        <v>0</v>
      </c>
      <c r="T33" s="13"/>
      <c r="U33" s="13"/>
      <c r="V33" s="13"/>
    </row>
    <row r="34" spans="2:23" ht="18" x14ac:dyDescent="0.25">
      <c r="B34" s="3"/>
      <c r="C34" s="89" t="s">
        <v>148</v>
      </c>
      <c r="D34" s="1" t="s">
        <v>208</v>
      </c>
      <c r="G34" s="4"/>
      <c r="Q34" s="87">
        <f>K29-O29</f>
        <v>0</v>
      </c>
      <c r="T34" s="8"/>
      <c r="U34" s="8"/>
      <c r="V34" s="8"/>
    </row>
    <row r="35" spans="2:23" ht="15" x14ac:dyDescent="0.25">
      <c r="B35" s="5"/>
      <c r="C35" s="89" t="s">
        <v>149</v>
      </c>
      <c r="D35" s="1" t="s">
        <v>209</v>
      </c>
      <c r="E35" s="5"/>
      <c r="F35" s="5"/>
      <c r="G35" s="5"/>
      <c r="H35" s="178"/>
      <c r="I35" s="178"/>
      <c r="J35" s="178"/>
      <c r="K35" s="178"/>
      <c r="L35" s="178"/>
      <c r="M35" s="178"/>
      <c r="N35" s="6"/>
      <c r="O35" s="6"/>
      <c r="P35" s="6"/>
      <c r="Q35" s="88">
        <f>M29-P29</f>
        <v>0</v>
      </c>
      <c r="R35" s="177"/>
      <c r="S35" s="177"/>
      <c r="T35" s="177"/>
      <c r="U35" s="177"/>
      <c r="V35" s="177"/>
      <c r="W35" s="177"/>
    </row>
    <row r="36" spans="2:23" x14ac:dyDescent="0.25">
      <c r="C36" s="89" t="s">
        <v>150</v>
      </c>
      <c r="D36" s="1" t="s">
        <v>210</v>
      </c>
      <c r="E36" s="2"/>
      <c r="F36" s="2"/>
      <c r="G36" s="3"/>
      <c r="H36" s="71"/>
      <c r="I36" s="71"/>
      <c r="J36" s="2"/>
      <c r="K36" s="71"/>
      <c r="L36" s="2"/>
      <c r="M36" s="71"/>
      <c r="Q36" s="88">
        <f>SUM(Q33:Q35)</f>
        <v>0</v>
      </c>
      <c r="R36" s="71"/>
      <c r="S36" s="71"/>
      <c r="T36" s="71"/>
      <c r="U36" s="71"/>
      <c r="V36" s="71"/>
      <c r="W36" s="71"/>
    </row>
    <row r="37" spans="2:23" x14ac:dyDescent="0.25">
      <c r="C37" s="89" t="s">
        <v>147</v>
      </c>
      <c r="D37" s="92" t="s">
        <v>211</v>
      </c>
      <c r="E37" s="2"/>
      <c r="F37" s="2"/>
      <c r="G37" s="3"/>
      <c r="H37" s="71"/>
      <c r="I37" s="71"/>
      <c r="J37" s="2"/>
      <c r="K37" s="71"/>
      <c r="L37" s="2"/>
      <c r="M37" s="71"/>
      <c r="R37" s="71"/>
      <c r="S37" s="71"/>
      <c r="T37" s="71"/>
      <c r="U37" s="71"/>
      <c r="V37" s="71"/>
      <c r="W37" s="71"/>
    </row>
    <row r="38" spans="2:23" x14ac:dyDescent="0.25">
      <c r="D38" s="92"/>
      <c r="E38" s="2"/>
      <c r="F38" s="2"/>
      <c r="G38" s="3"/>
      <c r="H38" s="71"/>
      <c r="I38" s="71"/>
      <c r="J38" s="2"/>
      <c r="K38" s="71"/>
      <c r="L38" s="2"/>
      <c r="M38" s="71"/>
      <c r="R38" s="71"/>
      <c r="S38" s="71"/>
      <c r="T38" s="71"/>
      <c r="U38" s="71"/>
      <c r="V38" s="71"/>
      <c r="W38" s="71"/>
    </row>
    <row r="39" spans="2:23" x14ac:dyDescent="0.25">
      <c r="E39" s="2"/>
      <c r="F39" s="2"/>
      <c r="G39" s="3"/>
      <c r="H39" s="71"/>
      <c r="I39" s="71"/>
      <c r="J39" s="2"/>
      <c r="K39" s="71"/>
      <c r="L39" s="2"/>
      <c r="M39" s="71"/>
      <c r="R39" s="71"/>
      <c r="S39" s="71"/>
      <c r="T39" s="71"/>
      <c r="U39" s="71"/>
      <c r="V39" s="71"/>
      <c r="W39" s="71"/>
    </row>
  </sheetData>
  <mergeCells count="14">
    <mergeCell ref="R35:W35"/>
    <mergeCell ref="H35:M35"/>
    <mergeCell ref="R12:W12"/>
    <mergeCell ref="H12:M12"/>
    <mergeCell ref="N12:Q12"/>
    <mergeCell ref="B4:W4"/>
    <mergeCell ref="B5:W5"/>
    <mergeCell ref="B6:W6"/>
    <mergeCell ref="B7:W7"/>
    <mergeCell ref="B12:B13"/>
    <mergeCell ref="C12:C13"/>
    <mergeCell ref="G12:G13"/>
    <mergeCell ref="D12:E12"/>
    <mergeCell ref="F12:F13"/>
  </mergeCells>
  <phoneticPr fontId="41" type="noConversion"/>
  <conditionalFormatting sqref="Q12 Q14:Q32">
    <cfRule type="containsText" dxfId="2" priority="12" operator="containsText" text="Kurang Bayar">
      <formula>NOT(ISERROR(SEARCH("Kurang Bayar",Q12)))</formula>
    </cfRule>
  </conditionalFormatting>
  <conditionalFormatting sqref="Q35:Q1048576">
    <cfRule type="containsText" dxfId="1" priority="10" operator="containsText" text="Kurang Bayar">
      <formula>NOT(ISERROR(SEARCH("Kurang Bayar",Q35)))</formula>
    </cfRule>
  </conditionalFormatting>
  <pageMargins left="0.11811023622047245" right="0" top="0.74803149606299213" bottom="0.35433070866141736" header="0.31496062992125984" footer="0.31496062992125984"/>
  <pageSetup paperSize="9" scale="43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882"/>
  <sheetViews>
    <sheetView showGridLines="0" topLeftCell="A95" zoomScaleNormal="100" workbookViewId="0">
      <selection activeCell="A2" sqref="A2:I882"/>
    </sheetView>
  </sheetViews>
  <sheetFormatPr defaultColWidth="9.140625" defaultRowHeight="14.25" x14ac:dyDescent="0.2"/>
  <cols>
    <col min="1" max="1" width="7.28515625" style="19" customWidth="1"/>
    <col min="2" max="2" width="7.7109375" style="19" customWidth="1"/>
    <col min="3" max="3" width="48" style="19" customWidth="1"/>
    <col min="4" max="4" width="1.85546875" style="19" customWidth="1"/>
    <col min="5" max="5" width="19" style="19" customWidth="1"/>
    <col min="6" max="6" width="22.5703125" style="21" customWidth="1"/>
    <col min="7" max="7" width="2.28515625" style="21" customWidth="1"/>
    <col min="8" max="8" width="17.28515625" style="21" customWidth="1"/>
    <col min="9" max="9" width="20.28515625" style="21" customWidth="1"/>
    <col min="10" max="12" width="9.140625" style="19"/>
    <col min="13" max="13" width="27.5703125" style="19" hidden="1" customWidth="1"/>
    <col min="14" max="16384" width="9.140625" style="19"/>
  </cols>
  <sheetData>
    <row r="2" spans="1:11" ht="52.9" customHeight="1" x14ac:dyDescent="0.2">
      <c r="B2" s="189" t="s">
        <v>182</v>
      </c>
      <c r="C2" s="189"/>
      <c r="D2" s="189"/>
      <c r="E2" s="189"/>
      <c r="F2" s="189"/>
      <c r="G2" s="189"/>
      <c r="H2" s="189"/>
      <c r="I2" s="189"/>
    </row>
    <row r="4" spans="1:11" customFormat="1" ht="24" customHeight="1" thickBot="1" x14ac:dyDescent="0.3">
      <c r="A4" s="98"/>
      <c r="B4" s="184" t="s">
        <v>180</v>
      </c>
      <c r="C4" s="184"/>
      <c r="D4" s="184"/>
      <c r="E4" s="184"/>
      <c r="F4" s="184"/>
      <c r="G4" s="184"/>
      <c r="H4" s="184" t="s">
        <v>175</v>
      </c>
      <c r="I4" s="184"/>
      <c r="J4" s="19"/>
      <c r="K4" s="19"/>
    </row>
    <row r="5" spans="1:11" customFormat="1" ht="24" customHeight="1" x14ac:dyDescent="0.25">
      <c r="A5" s="98"/>
      <c r="B5" s="19"/>
      <c r="C5" s="99" t="s">
        <v>196</v>
      </c>
      <c r="D5" s="19"/>
      <c r="E5" s="188">
        <f>H48+H114+H190+H263+H328+H400+H467+H538+H611+H690+H766+H850</f>
        <v>324952410</v>
      </c>
      <c r="F5" s="188"/>
      <c r="G5" s="21"/>
      <c r="H5" s="185">
        <f>SUM(E5:E9)</f>
        <v>985183540</v>
      </c>
      <c r="I5" s="185"/>
      <c r="J5" s="19"/>
      <c r="K5" s="19"/>
    </row>
    <row r="6" spans="1:11" customFormat="1" ht="24" customHeight="1" x14ac:dyDescent="0.25">
      <c r="A6" s="98"/>
      <c r="B6" s="19"/>
      <c r="C6" s="99" t="s">
        <v>167</v>
      </c>
      <c r="D6" s="19"/>
      <c r="E6" s="188">
        <f>H53+H119+H197+H268+H333+H405+H472+H543+H616+H695+H771+H855</f>
        <v>66104000</v>
      </c>
      <c r="F6" s="188"/>
      <c r="G6" s="21"/>
      <c r="H6" s="185"/>
      <c r="I6" s="185"/>
      <c r="J6" s="19"/>
      <c r="K6" s="19"/>
    </row>
    <row r="7" spans="1:11" customFormat="1" ht="24" customHeight="1" x14ac:dyDescent="0.25">
      <c r="A7" s="98"/>
      <c r="B7" s="19"/>
      <c r="C7" s="99" t="s">
        <v>168</v>
      </c>
      <c r="D7" s="19"/>
      <c r="E7" s="188">
        <f>H58+H124+H202+H273+H338+H410+H477+H548+H621+H700+H776+H860</f>
        <v>338013452</v>
      </c>
      <c r="F7" s="188"/>
      <c r="G7" s="21"/>
      <c r="H7" s="185"/>
      <c r="I7" s="185"/>
      <c r="J7" s="19"/>
      <c r="K7" s="19"/>
    </row>
    <row r="8" spans="1:11" customFormat="1" ht="24" customHeight="1" x14ac:dyDescent="0.25">
      <c r="A8" s="98"/>
      <c r="B8" s="19"/>
      <c r="C8" s="99" t="s">
        <v>169</v>
      </c>
      <c r="D8" s="19"/>
      <c r="E8" s="188">
        <f>H63+H129+H207+H278+H343+H415+H482+H553+H626+H705+H781+H865</f>
        <v>11125000</v>
      </c>
      <c r="F8" s="188"/>
      <c r="G8" s="21"/>
      <c r="H8" s="185"/>
      <c r="I8" s="185"/>
      <c r="J8" s="19"/>
      <c r="K8" s="19"/>
    </row>
    <row r="9" spans="1:11" customFormat="1" ht="24" customHeight="1" x14ac:dyDescent="0.25">
      <c r="A9" s="98"/>
      <c r="B9" s="19"/>
      <c r="C9" s="99" t="s">
        <v>179</v>
      </c>
      <c r="D9" s="19"/>
      <c r="E9" s="188">
        <f>H68+H134+H212+H283+H348+H421+H487+H558+H634+H711+H788+H877</f>
        <v>244988678</v>
      </c>
      <c r="F9" s="188"/>
      <c r="G9" s="21"/>
      <c r="H9" s="185"/>
      <c r="I9" s="185"/>
      <c r="J9" s="19"/>
      <c r="K9" s="19"/>
    </row>
    <row r="10" spans="1:11" customFormat="1" ht="7.9" customHeight="1" x14ac:dyDescent="0.25">
      <c r="A10" s="98"/>
      <c r="B10" s="19"/>
      <c r="C10" s="19"/>
      <c r="D10" s="19"/>
      <c r="E10" s="19"/>
      <c r="F10" s="21"/>
      <c r="G10" s="21"/>
      <c r="H10" s="98"/>
      <c r="I10" s="19"/>
      <c r="J10" s="19"/>
      <c r="K10" s="19"/>
    </row>
    <row r="11" spans="1:11" customFormat="1" ht="24" customHeight="1" x14ac:dyDescent="0.25">
      <c r="A11" s="98"/>
      <c r="B11" s="190" t="s">
        <v>176</v>
      </c>
      <c r="C11" s="191"/>
      <c r="D11" s="19"/>
      <c r="E11" s="186">
        <v>45292</v>
      </c>
      <c r="F11" s="186"/>
      <c r="G11" s="21"/>
      <c r="H11" s="186">
        <v>45657</v>
      </c>
      <c r="I11" s="186"/>
      <c r="J11" s="19"/>
      <c r="K11" s="19"/>
    </row>
    <row r="12" spans="1:11" customFormat="1" ht="24" customHeight="1" x14ac:dyDescent="0.25">
      <c r="A12" s="98"/>
      <c r="B12" s="190"/>
      <c r="C12" s="191"/>
      <c r="D12" s="19"/>
      <c r="E12" s="187" t="s">
        <v>177</v>
      </c>
      <c r="F12" s="187"/>
      <c r="G12" s="21"/>
      <c r="H12" s="187" t="s">
        <v>178</v>
      </c>
      <c r="I12" s="187"/>
      <c r="J12" s="19"/>
      <c r="K12" s="19"/>
    </row>
    <row r="16" spans="1:11" ht="28.9" customHeight="1" thickBot="1" x14ac:dyDescent="0.25">
      <c r="B16" s="192" t="str">
        <f>'Rec.Data System-IN'!D10</f>
        <v>KIWI</v>
      </c>
      <c r="C16" s="193"/>
      <c r="D16" s="193"/>
      <c r="E16" s="193"/>
      <c r="F16" s="193"/>
      <c r="G16" s="193"/>
      <c r="H16" s="193"/>
      <c r="I16" s="193"/>
    </row>
    <row r="17" spans="2:13" ht="21.75" x14ac:dyDescent="0.2">
      <c r="B17" s="194" t="s">
        <v>21</v>
      </c>
      <c r="C17" s="194"/>
      <c r="D17" s="194"/>
      <c r="E17" s="194"/>
      <c r="F17" s="194"/>
      <c r="G17" s="194"/>
      <c r="H17" s="194"/>
      <c r="I17" s="195"/>
    </row>
    <row r="18" spans="2:13" ht="21.75" x14ac:dyDescent="0.2">
      <c r="B18" s="186" t="s">
        <v>181</v>
      </c>
      <c r="C18" s="186"/>
      <c r="D18" s="186"/>
      <c r="E18" s="186"/>
      <c r="F18" s="186"/>
      <c r="G18" s="186"/>
      <c r="H18" s="186"/>
      <c r="I18" s="196"/>
    </row>
    <row r="20" spans="2:13" ht="21.75" x14ac:dyDescent="0.2">
      <c r="B20" s="105"/>
      <c r="C20" s="106" t="s">
        <v>22</v>
      </c>
      <c r="D20" s="106"/>
      <c r="E20" s="106"/>
      <c r="F20" s="106"/>
      <c r="G20" s="106"/>
      <c r="H20" s="106"/>
      <c r="I20" s="107"/>
      <c r="M20" s="19" t="s">
        <v>47</v>
      </c>
    </row>
    <row r="21" spans="2:13" x14ac:dyDescent="0.2">
      <c r="B21" s="20"/>
      <c r="I21" s="22"/>
      <c r="M21" s="19" t="s">
        <v>48</v>
      </c>
    </row>
    <row r="22" spans="2:13" ht="21.75" x14ac:dyDescent="0.2">
      <c r="B22" s="108"/>
      <c r="C22" s="102" t="s">
        <v>63</v>
      </c>
      <c r="D22" s="100"/>
      <c r="E22" s="100"/>
      <c r="F22" s="101" t="s">
        <v>115</v>
      </c>
      <c r="G22" s="101"/>
      <c r="H22" s="101" t="s">
        <v>116</v>
      </c>
      <c r="I22" s="109" t="s">
        <v>17</v>
      </c>
      <c r="M22" s="19" t="s">
        <v>49</v>
      </c>
    </row>
    <row r="23" spans="2:13" x14ac:dyDescent="0.2">
      <c r="B23" s="20"/>
      <c r="I23" s="22"/>
      <c r="M23" s="19" t="s">
        <v>134</v>
      </c>
    </row>
    <row r="24" spans="2:13" x14ac:dyDescent="0.2">
      <c r="B24" s="20"/>
      <c r="C24" s="19" t="s">
        <v>23</v>
      </c>
      <c r="H24" s="21">
        <f>'Rec.Data System-IN'!R16</f>
        <v>2106545</v>
      </c>
      <c r="I24" s="22">
        <f t="shared" ref="I24:I30" si="0">F24+H24</f>
        <v>2106545</v>
      </c>
      <c r="M24" s="19" t="s">
        <v>117</v>
      </c>
    </row>
    <row r="25" spans="2:13" x14ac:dyDescent="0.2">
      <c r="B25" s="20"/>
      <c r="C25" s="19" t="s">
        <v>24</v>
      </c>
      <c r="H25" s="110">
        <f>'Rec.Data System-IN'!S16</f>
        <v>4509222</v>
      </c>
      <c r="I25" s="22">
        <f t="shared" si="0"/>
        <v>4509222</v>
      </c>
      <c r="M25" s="19" t="s">
        <v>50</v>
      </c>
    </row>
    <row r="26" spans="2:13" ht="25.5" customHeight="1" x14ac:dyDescent="0.2">
      <c r="B26" s="20"/>
      <c r="C26" s="7" t="s">
        <v>81</v>
      </c>
      <c r="F26" s="21">
        <v>22925600</v>
      </c>
      <c r="H26" s="21">
        <f>SUM(H24:H25)</f>
        <v>6615767</v>
      </c>
      <c r="I26" s="22">
        <f t="shared" si="0"/>
        <v>29541367</v>
      </c>
      <c r="M26" s="19" t="s">
        <v>51</v>
      </c>
    </row>
    <row r="27" spans="2:13" x14ac:dyDescent="0.2">
      <c r="B27" s="20"/>
      <c r="C27" s="19" t="s">
        <v>104</v>
      </c>
      <c r="F27" s="21">
        <v>0</v>
      </c>
      <c r="H27" s="21">
        <f>'Rec.Data System-IN'!T16</f>
        <v>100000</v>
      </c>
      <c r="I27" s="22">
        <f t="shared" si="0"/>
        <v>100000</v>
      </c>
      <c r="M27" s="19" t="s">
        <v>52</v>
      </c>
    </row>
    <row r="28" spans="2:13" x14ac:dyDescent="0.2">
      <c r="B28" s="20"/>
      <c r="C28" s="19" t="s">
        <v>34</v>
      </c>
      <c r="F28" s="21">
        <v>0</v>
      </c>
      <c r="H28" s="21">
        <f>'Rec.Data System-IN'!U16</f>
        <v>277751</v>
      </c>
      <c r="I28" s="22">
        <f t="shared" si="0"/>
        <v>277751</v>
      </c>
      <c r="M28" s="19" t="s">
        <v>53</v>
      </c>
    </row>
    <row r="29" spans="2:13" x14ac:dyDescent="0.2">
      <c r="B29" s="20"/>
      <c r="C29" s="19" t="s">
        <v>105</v>
      </c>
      <c r="F29" s="21">
        <v>0</v>
      </c>
      <c r="H29" s="21">
        <f>'Rec.Data System-IN'!V16</f>
        <v>100000</v>
      </c>
      <c r="I29" s="22">
        <f t="shared" si="0"/>
        <v>100000</v>
      </c>
      <c r="M29" s="19" t="s">
        <v>130</v>
      </c>
    </row>
    <row r="30" spans="2:13" x14ac:dyDescent="0.2">
      <c r="B30" s="20"/>
      <c r="C30" s="19" t="s">
        <v>106</v>
      </c>
      <c r="F30" s="110">
        <v>9631000</v>
      </c>
      <c r="H30" s="21">
        <f>'Rec.Data System-IN'!W16</f>
        <v>2400000</v>
      </c>
      <c r="I30" s="22">
        <f t="shared" si="0"/>
        <v>12031000</v>
      </c>
      <c r="M30" s="19" t="s">
        <v>131</v>
      </c>
    </row>
    <row r="31" spans="2:13" x14ac:dyDescent="0.2">
      <c r="B31" s="20"/>
      <c r="I31" s="22"/>
      <c r="M31" s="19" t="s">
        <v>54</v>
      </c>
    </row>
    <row r="32" spans="2:13" ht="15.75" thickBot="1" x14ac:dyDescent="0.3">
      <c r="B32" s="20"/>
      <c r="C32" s="19" t="s">
        <v>25</v>
      </c>
      <c r="I32" s="83">
        <f>SUM(I26:I30)</f>
        <v>42050118</v>
      </c>
      <c r="M32" s="19" t="s">
        <v>55</v>
      </c>
    </row>
    <row r="33" spans="2:15" ht="15" thickTop="1" x14ac:dyDescent="0.2">
      <c r="B33" s="20"/>
      <c r="I33" s="22"/>
      <c r="M33" s="19" t="s">
        <v>56</v>
      </c>
    </row>
    <row r="34" spans="2:15" ht="21.75" x14ac:dyDescent="0.2">
      <c r="B34" s="111"/>
      <c r="C34" s="103" t="s">
        <v>26</v>
      </c>
      <c r="D34" s="103"/>
      <c r="E34" s="103"/>
      <c r="F34" s="103"/>
      <c r="G34" s="103"/>
      <c r="H34" s="103"/>
      <c r="I34" s="112"/>
      <c r="M34" s="19" t="s">
        <v>57</v>
      </c>
    </row>
    <row r="35" spans="2:15" x14ac:dyDescent="0.2">
      <c r="B35" s="20"/>
      <c r="F35" s="19"/>
      <c r="H35" s="19"/>
      <c r="I35" s="22"/>
      <c r="M35" s="19" t="s">
        <v>133</v>
      </c>
    </row>
    <row r="36" spans="2:15" ht="21.75" x14ac:dyDescent="0.2">
      <c r="B36" s="108"/>
      <c r="C36" s="102" t="s">
        <v>65</v>
      </c>
      <c r="D36" s="100"/>
      <c r="E36" s="102" t="s">
        <v>145</v>
      </c>
      <c r="F36" s="104" t="s">
        <v>114</v>
      </c>
      <c r="G36" s="101"/>
      <c r="H36" s="101"/>
      <c r="I36" s="109"/>
      <c r="M36" s="19" t="s">
        <v>119</v>
      </c>
    </row>
    <row r="37" spans="2:15" x14ac:dyDescent="0.2">
      <c r="B37" s="80"/>
      <c r="F37" s="19" t="s">
        <v>113</v>
      </c>
      <c r="H37" s="113"/>
      <c r="I37" s="22"/>
      <c r="M37" s="19" t="s">
        <v>118</v>
      </c>
    </row>
    <row r="38" spans="2:15" x14ac:dyDescent="0.2">
      <c r="B38" s="80"/>
      <c r="F38" s="19"/>
      <c r="H38" s="113"/>
      <c r="I38" s="22"/>
      <c r="M38" s="19" t="s">
        <v>120</v>
      </c>
    </row>
    <row r="39" spans="2:15" x14ac:dyDescent="0.2">
      <c r="B39" s="80">
        <v>1</v>
      </c>
      <c r="C39" s="19" t="s">
        <v>227</v>
      </c>
      <c r="E39" s="19" t="s">
        <v>216</v>
      </c>
      <c r="F39" s="19" t="s">
        <v>135</v>
      </c>
      <c r="G39" s="19"/>
      <c r="H39" s="114">
        <v>250000</v>
      </c>
      <c r="I39" s="22"/>
      <c r="M39" s="19" t="s">
        <v>121</v>
      </c>
    </row>
    <row r="40" spans="2:15" x14ac:dyDescent="0.2">
      <c r="B40" s="80">
        <v>2</v>
      </c>
      <c r="C40" s="19" t="s">
        <v>228</v>
      </c>
      <c r="E40" s="19" t="s">
        <v>217</v>
      </c>
      <c r="F40" s="19" t="s">
        <v>135</v>
      </c>
      <c r="G40" s="19"/>
      <c r="H40" s="114">
        <v>500000</v>
      </c>
      <c r="I40" s="22"/>
      <c r="M40" s="19" t="s">
        <v>122</v>
      </c>
    </row>
    <row r="41" spans="2:15" x14ac:dyDescent="0.2">
      <c r="B41" s="80">
        <v>3</v>
      </c>
      <c r="C41" s="19" t="s">
        <v>229</v>
      </c>
      <c r="E41" s="19" t="s">
        <v>218</v>
      </c>
      <c r="F41" s="19" t="s">
        <v>135</v>
      </c>
      <c r="G41" s="19"/>
      <c r="H41" s="114">
        <v>8735693</v>
      </c>
      <c r="I41" s="22"/>
    </row>
    <row r="42" spans="2:15" x14ac:dyDescent="0.2">
      <c r="B42" s="80">
        <v>4</v>
      </c>
      <c r="C42" s="19" t="s">
        <v>232</v>
      </c>
      <c r="E42" s="19" t="s">
        <v>221</v>
      </c>
      <c r="F42" s="19" t="s">
        <v>135</v>
      </c>
      <c r="G42" s="19"/>
      <c r="H42" s="114">
        <v>2171000</v>
      </c>
      <c r="I42" s="22"/>
    </row>
    <row r="43" spans="2:15" x14ac:dyDescent="0.2">
      <c r="B43" s="80">
        <v>5</v>
      </c>
      <c r="C43" s="19" t="s">
        <v>233</v>
      </c>
      <c r="E43" s="19" t="s">
        <v>222</v>
      </c>
      <c r="F43" s="19" t="s">
        <v>135</v>
      </c>
      <c r="G43" s="19"/>
      <c r="H43" s="114">
        <v>352000</v>
      </c>
      <c r="I43" s="22"/>
    </row>
    <row r="44" spans="2:15" x14ac:dyDescent="0.2">
      <c r="B44" s="80">
        <v>6</v>
      </c>
      <c r="C44" s="19" t="s">
        <v>234</v>
      </c>
      <c r="E44" s="19" t="s">
        <v>223</v>
      </c>
      <c r="F44" s="19" t="s">
        <v>135</v>
      </c>
      <c r="G44" s="19"/>
      <c r="H44" s="114">
        <v>174000</v>
      </c>
      <c r="I44" s="22"/>
      <c r="M44" s="19" t="s">
        <v>123</v>
      </c>
    </row>
    <row r="45" spans="2:15" x14ac:dyDescent="0.2">
      <c r="B45" s="80">
        <v>7</v>
      </c>
      <c r="C45" s="19" t="s">
        <v>235</v>
      </c>
      <c r="E45" s="19" t="s">
        <v>224</v>
      </c>
      <c r="F45" s="19" t="s">
        <v>135</v>
      </c>
      <c r="G45" s="19"/>
      <c r="H45" s="114">
        <v>4002500</v>
      </c>
      <c r="I45" s="22"/>
      <c r="M45" s="19" t="s">
        <v>58</v>
      </c>
    </row>
    <row r="46" spans="2:15" x14ac:dyDescent="0.2">
      <c r="B46" s="80">
        <v>8</v>
      </c>
      <c r="C46" s="19" t="s">
        <v>236</v>
      </c>
      <c r="E46" s="19" t="s">
        <v>225</v>
      </c>
      <c r="F46" s="19" t="s">
        <v>135</v>
      </c>
      <c r="G46" s="19"/>
      <c r="H46" s="114">
        <v>1000000</v>
      </c>
      <c r="I46" s="22"/>
      <c r="M46" s="19" t="s">
        <v>124</v>
      </c>
      <c r="N46" s="21"/>
      <c r="O46" s="21"/>
    </row>
    <row r="47" spans="2:15" ht="16.5" x14ac:dyDescent="0.35">
      <c r="B47" s="80">
        <v>9</v>
      </c>
      <c r="C47" s="19" t="s">
        <v>237</v>
      </c>
      <c r="E47" s="19" t="s">
        <v>226</v>
      </c>
      <c r="F47" s="19" t="s">
        <v>135</v>
      </c>
      <c r="G47" s="19"/>
      <c r="H47" s="115">
        <v>1300000</v>
      </c>
      <c r="I47" s="22"/>
      <c r="M47" s="19" t="s">
        <v>125</v>
      </c>
      <c r="N47" s="21"/>
      <c r="O47" s="21"/>
    </row>
    <row r="48" spans="2:15" x14ac:dyDescent="0.2">
      <c r="B48" s="80"/>
      <c r="C48" s="116" t="s">
        <v>139</v>
      </c>
      <c r="F48" s="19"/>
      <c r="G48" s="19"/>
      <c r="H48" s="114">
        <f>SUM(H39:H47)</f>
        <v>18485193</v>
      </c>
      <c r="I48" s="22">
        <f>I26-H48</f>
        <v>11056174</v>
      </c>
      <c r="M48" s="19" t="s">
        <v>16</v>
      </c>
      <c r="N48" s="21"/>
      <c r="O48" s="21"/>
    </row>
    <row r="49" spans="2:15" x14ac:dyDescent="0.2">
      <c r="B49" s="80">
        <v>1</v>
      </c>
      <c r="F49" s="19" t="s">
        <v>104</v>
      </c>
      <c r="G49" s="19"/>
      <c r="H49" s="114">
        <v>0</v>
      </c>
      <c r="I49" s="22"/>
      <c r="M49" s="19" t="s">
        <v>59</v>
      </c>
      <c r="N49" s="21"/>
      <c r="O49" s="21"/>
    </row>
    <row r="50" spans="2:15" x14ac:dyDescent="0.2">
      <c r="B50" s="80">
        <v>2</v>
      </c>
      <c r="F50" s="19" t="s">
        <v>104</v>
      </c>
      <c r="G50" s="19"/>
      <c r="H50" s="114">
        <v>0</v>
      </c>
      <c r="I50" s="22"/>
      <c r="M50" s="19" t="s">
        <v>127</v>
      </c>
      <c r="N50" s="21"/>
      <c r="O50" s="21"/>
    </row>
    <row r="51" spans="2:15" x14ac:dyDescent="0.2">
      <c r="B51" s="80">
        <v>3</v>
      </c>
      <c r="F51" s="19" t="s">
        <v>104</v>
      </c>
      <c r="G51" s="19"/>
      <c r="H51" s="114">
        <v>0</v>
      </c>
      <c r="I51" s="22"/>
      <c r="M51" s="19" t="s">
        <v>126</v>
      </c>
      <c r="N51" s="21"/>
      <c r="O51" s="21"/>
    </row>
    <row r="52" spans="2:15" ht="16.5" x14ac:dyDescent="0.35">
      <c r="B52" s="80">
        <v>4</v>
      </c>
      <c r="F52" s="19" t="s">
        <v>104</v>
      </c>
      <c r="G52" s="19"/>
      <c r="H52" s="115">
        <v>0</v>
      </c>
      <c r="I52" s="22"/>
      <c r="M52" s="19" t="s">
        <v>128</v>
      </c>
      <c r="N52" s="21"/>
      <c r="O52" s="21"/>
    </row>
    <row r="53" spans="2:15" x14ac:dyDescent="0.2">
      <c r="B53" s="80"/>
      <c r="C53" s="116" t="s">
        <v>140</v>
      </c>
      <c r="F53" s="19"/>
      <c r="G53" s="19"/>
      <c r="H53" s="114">
        <f>SUM(H49:H52)</f>
        <v>0</v>
      </c>
      <c r="I53" s="22">
        <f>I27-H53</f>
        <v>100000</v>
      </c>
      <c r="M53" s="19" t="s">
        <v>132</v>
      </c>
      <c r="N53" s="21"/>
      <c r="O53" s="21"/>
    </row>
    <row r="54" spans="2:15" x14ac:dyDescent="0.2">
      <c r="B54" s="80">
        <v>1</v>
      </c>
      <c r="C54" s="19" t="s">
        <v>230</v>
      </c>
      <c r="E54" s="19" t="s">
        <v>219</v>
      </c>
      <c r="F54" s="19" t="s">
        <v>34</v>
      </c>
      <c r="G54" s="19"/>
      <c r="H54" s="114">
        <v>3552500</v>
      </c>
      <c r="I54" s="22"/>
      <c r="M54" s="19" t="s">
        <v>60</v>
      </c>
      <c r="N54" s="21"/>
      <c r="O54" s="21"/>
    </row>
    <row r="55" spans="2:15" x14ac:dyDescent="0.2">
      <c r="B55" s="80">
        <v>2</v>
      </c>
      <c r="F55" s="19" t="s">
        <v>34</v>
      </c>
      <c r="G55" s="19"/>
      <c r="H55" s="114">
        <v>0</v>
      </c>
      <c r="I55" s="22"/>
      <c r="M55" s="19" t="s">
        <v>61</v>
      </c>
      <c r="N55" s="21"/>
      <c r="O55" s="21"/>
    </row>
    <row r="56" spans="2:15" x14ac:dyDescent="0.2">
      <c r="B56" s="80">
        <v>3</v>
      </c>
      <c r="F56" s="19" t="s">
        <v>34</v>
      </c>
      <c r="G56" s="19"/>
      <c r="H56" s="114">
        <v>0</v>
      </c>
      <c r="I56" s="22"/>
      <c r="N56" s="21"/>
      <c r="O56" s="21"/>
    </row>
    <row r="57" spans="2:15" ht="16.5" x14ac:dyDescent="0.35">
      <c r="B57" s="80">
        <v>4</v>
      </c>
      <c r="F57" s="19" t="s">
        <v>34</v>
      </c>
      <c r="G57" s="19"/>
      <c r="H57" s="115">
        <v>0</v>
      </c>
      <c r="I57" s="22"/>
      <c r="N57" s="21"/>
      <c r="O57" s="21"/>
    </row>
    <row r="58" spans="2:15" x14ac:dyDescent="0.2">
      <c r="B58" s="80"/>
      <c r="C58" s="116" t="s">
        <v>141</v>
      </c>
      <c r="F58" s="19"/>
      <c r="G58" s="19"/>
      <c r="H58" s="114">
        <f>SUM(H54:H57)</f>
        <v>3552500</v>
      </c>
      <c r="I58" s="22">
        <f>I28-H58</f>
        <v>-3274749</v>
      </c>
      <c r="N58" s="21"/>
      <c r="O58" s="21"/>
    </row>
    <row r="59" spans="2:15" x14ac:dyDescent="0.2">
      <c r="B59" s="80">
        <v>1</v>
      </c>
      <c r="C59" s="19" t="s">
        <v>231</v>
      </c>
      <c r="E59" s="19" t="s">
        <v>220</v>
      </c>
      <c r="F59" s="19" t="s">
        <v>105</v>
      </c>
      <c r="G59" s="19"/>
      <c r="H59" s="114">
        <v>225000</v>
      </c>
      <c r="I59" s="22"/>
      <c r="N59" s="21"/>
      <c r="O59" s="21"/>
    </row>
    <row r="60" spans="2:15" x14ac:dyDescent="0.2">
      <c r="B60" s="80">
        <v>2</v>
      </c>
      <c r="F60" s="19" t="s">
        <v>105</v>
      </c>
      <c r="G60" s="19"/>
      <c r="H60" s="114">
        <v>0</v>
      </c>
      <c r="I60" s="22"/>
      <c r="N60" s="21"/>
      <c r="O60" s="21"/>
    </row>
    <row r="61" spans="2:15" x14ac:dyDescent="0.2">
      <c r="B61" s="80">
        <v>3</v>
      </c>
      <c r="F61" s="19" t="s">
        <v>105</v>
      </c>
      <c r="G61" s="19"/>
      <c r="H61" s="114">
        <v>0</v>
      </c>
      <c r="I61" s="22"/>
      <c r="N61" s="21"/>
      <c r="O61" s="21"/>
    </row>
    <row r="62" spans="2:15" ht="16.5" x14ac:dyDescent="0.35">
      <c r="B62" s="80">
        <v>4</v>
      </c>
      <c r="F62" s="19" t="s">
        <v>105</v>
      </c>
      <c r="G62" s="19"/>
      <c r="H62" s="115">
        <v>0</v>
      </c>
      <c r="I62" s="22"/>
      <c r="N62" s="21"/>
      <c r="O62" s="21"/>
    </row>
    <row r="63" spans="2:15" x14ac:dyDescent="0.2">
      <c r="B63" s="80"/>
      <c r="C63" s="116" t="s">
        <v>142</v>
      </c>
      <c r="F63" s="19"/>
      <c r="G63" s="19"/>
      <c r="H63" s="114">
        <f>SUM(H59:H62)</f>
        <v>225000</v>
      </c>
      <c r="I63" s="22">
        <f>I29-H63</f>
        <v>-125000</v>
      </c>
      <c r="N63" s="21"/>
      <c r="O63" s="21"/>
    </row>
    <row r="64" spans="2:15" x14ac:dyDescent="0.2">
      <c r="B64" s="80">
        <v>1</v>
      </c>
      <c r="F64" s="19" t="s">
        <v>143</v>
      </c>
      <c r="G64" s="19"/>
      <c r="H64" s="114">
        <v>0</v>
      </c>
      <c r="I64" s="22"/>
      <c r="N64" s="21"/>
      <c r="O64" s="21"/>
    </row>
    <row r="65" spans="2:15" x14ac:dyDescent="0.2">
      <c r="B65" s="80">
        <v>2</v>
      </c>
      <c r="F65" s="19" t="s">
        <v>143</v>
      </c>
      <c r="G65" s="19"/>
      <c r="H65" s="114">
        <v>0</v>
      </c>
      <c r="I65" s="22"/>
      <c r="N65" s="21"/>
      <c r="O65" s="21"/>
    </row>
    <row r="66" spans="2:15" x14ac:dyDescent="0.2">
      <c r="B66" s="80">
        <v>3</v>
      </c>
      <c r="F66" s="19" t="s">
        <v>143</v>
      </c>
      <c r="G66" s="19"/>
      <c r="H66" s="114">
        <v>0</v>
      </c>
      <c r="I66" s="22"/>
      <c r="M66" s="19" t="s">
        <v>129</v>
      </c>
      <c r="N66" s="21"/>
      <c r="O66" s="21"/>
    </row>
    <row r="67" spans="2:15" ht="16.5" x14ac:dyDescent="0.35">
      <c r="B67" s="80">
        <v>4</v>
      </c>
      <c r="F67" s="19" t="s">
        <v>143</v>
      </c>
      <c r="G67" s="19"/>
      <c r="H67" s="115">
        <v>0</v>
      </c>
      <c r="I67" s="22"/>
      <c r="M67" s="19" t="s">
        <v>64</v>
      </c>
      <c r="N67" s="21"/>
      <c r="O67" s="21"/>
    </row>
    <row r="68" spans="2:15" x14ac:dyDescent="0.2">
      <c r="B68" s="80"/>
      <c r="C68" s="116" t="s">
        <v>144</v>
      </c>
      <c r="F68" s="19"/>
      <c r="G68" s="19"/>
      <c r="H68" s="114">
        <f>SUM(H64:H67)</f>
        <v>0</v>
      </c>
      <c r="I68" s="22">
        <f>I30-H68</f>
        <v>12031000</v>
      </c>
      <c r="N68" s="21"/>
      <c r="O68" s="21"/>
    </row>
    <row r="69" spans="2:15" x14ac:dyDescent="0.2">
      <c r="B69" s="20"/>
      <c r="I69" s="22"/>
    </row>
    <row r="70" spans="2:15" ht="15" thickBot="1" x14ac:dyDescent="0.25">
      <c r="B70" s="20"/>
      <c r="C70" s="19" t="s">
        <v>27</v>
      </c>
      <c r="H70" s="117">
        <f>H48+H53+H58+H63+H68</f>
        <v>22262693</v>
      </c>
      <c r="I70" s="81"/>
    </row>
    <row r="71" spans="2:15" x14ac:dyDescent="0.2">
      <c r="B71" s="20"/>
      <c r="I71" s="22"/>
    </row>
    <row r="72" spans="2:15" ht="15" x14ac:dyDescent="0.25">
      <c r="B72" s="20"/>
      <c r="C72" s="19" t="s">
        <v>28</v>
      </c>
      <c r="H72" s="19"/>
      <c r="I72" s="82">
        <f>I32-H70</f>
        <v>19787425</v>
      </c>
    </row>
    <row r="73" spans="2:15" x14ac:dyDescent="0.2">
      <c r="B73" s="24"/>
      <c r="C73" s="25"/>
      <c r="D73" s="25"/>
      <c r="E73" s="25"/>
      <c r="F73" s="23"/>
      <c r="G73" s="23"/>
      <c r="H73" s="23"/>
      <c r="I73" s="37"/>
    </row>
    <row r="77" spans="2:15" ht="28.9" customHeight="1" thickBot="1" x14ac:dyDescent="0.25">
      <c r="B77" s="192" t="str">
        <f>B16</f>
        <v>KIWI</v>
      </c>
      <c r="C77" s="193"/>
      <c r="D77" s="193"/>
      <c r="E77" s="193"/>
      <c r="F77" s="193"/>
      <c r="G77" s="193"/>
      <c r="H77" s="193"/>
      <c r="I77" s="193"/>
    </row>
    <row r="78" spans="2:15" ht="21.75" x14ac:dyDescent="0.2">
      <c r="B78" s="194" t="s">
        <v>21</v>
      </c>
      <c r="C78" s="194"/>
      <c r="D78" s="194"/>
      <c r="E78" s="194"/>
      <c r="F78" s="194"/>
      <c r="G78" s="194"/>
      <c r="H78" s="194"/>
      <c r="I78" s="195"/>
    </row>
    <row r="79" spans="2:15" ht="21.75" x14ac:dyDescent="0.2">
      <c r="B79" s="186" t="s">
        <v>183</v>
      </c>
      <c r="C79" s="186"/>
      <c r="D79" s="186"/>
      <c r="E79" s="186"/>
      <c r="F79" s="186"/>
      <c r="G79" s="186"/>
      <c r="H79" s="186"/>
      <c r="I79" s="196"/>
    </row>
    <row r="81" spans="2:9" ht="21.75" x14ac:dyDescent="0.2">
      <c r="B81" s="105"/>
      <c r="C81" s="106" t="s">
        <v>22</v>
      </c>
      <c r="D81" s="106"/>
      <c r="E81" s="106"/>
      <c r="F81" s="106"/>
      <c r="G81" s="106"/>
      <c r="H81" s="106"/>
      <c r="I81" s="107"/>
    </row>
    <row r="82" spans="2:9" x14ac:dyDescent="0.2">
      <c r="B82" s="20"/>
      <c r="I82" s="22"/>
    </row>
    <row r="83" spans="2:9" ht="21.75" x14ac:dyDescent="0.2">
      <c r="B83" s="108"/>
      <c r="C83" s="102" t="s">
        <v>63</v>
      </c>
      <c r="D83" s="100"/>
      <c r="E83" s="100"/>
      <c r="F83" s="101" t="s">
        <v>115</v>
      </c>
      <c r="G83" s="101"/>
      <c r="H83" s="101" t="s">
        <v>116</v>
      </c>
      <c r="I83" s="109" t="s">
        <v>17</v>
      </c>
    </row>
    <row r="84" spans="2:9" x14ac:dyDescent="0.2">
      <c r="B84" s="20"/>
      <c r="I84" s="22"/>
    </row>
    <row r="85" spans="2:9" x14ac:dyDescent="0.2">
      <c r="B85" s="20"/>
      <c r="C85" s="19" t="s">
        <v>23</v>
      </c>
      <c r="H85" s="21">
        <f>'Rec.Data System-IN'!R17</f>
        <v>4613216</v>
      </c>
      <c r="I85" s="22">
        <f t="shared" ref="I85:I91" si="1">F85+H85</f>
        <v>4613216</v>
      </c>
    </row>
    <row r="86" spans="2:9" x14ac:dyDescent="0.2">
      <c r="B86" s="20"/>
      <c r="C86" s="19" t="s">
        <v>24</v>
      </c>
      <c r="H86" s="110">
        <f>'Rec.Data System-IN'!S17</f>
        <v>36074547</v>
      </c>
      <c r="I86" s="22">
        <f t="shared" si="1"/>
        <v>36074547</v>
      </c>
    </row>
    <row r="87" spans="2:9" ht="25.5" customHeight="1" x14ac:dyDescent="0.2">
      <c r="B87" s="20"/>
      <c r="C87" s="7" t="s">
        <v>81</v>
      </c>
      <c r="F87" s="21">
        <f>I48</f>
        <v>11056174</v>
      </c>
      <c r="H87" s="21">
        <f>SUM(H85:H86)</f>
        <v>40687763</v>
      </c>
      <c r="I87" s="22">
        <f t="shared" si="1"/>
        <v>51743937</v>
      </c>
    </row>
    <row r="88" spans="2:9" x14ac:dyDescent="0.2">
      <c r="B88" s="20"/>
      <c r="C88" s="19" t="s">
        <v>104</v>
      </c>
      <c r="F88" s="21">
        <f>I53</f>
        <v>100000</v>
      </c>
      <c r="H88" s="21">
        <f>'Rec.Data System-IN'!T17</f>
        <v>27380000</v>
      </c>
      <c r="I88" s="22">
        <f t="shared" si="1"/>
        <v>27480000</v>
      </c>
    </row>
    <row r="89" spans="2:9" x14ac:dyDescent="0.2">
      <c r="B89" s="20"/>
      <c r="C89" s="19" t="s">
        <v>34</v>
      </c>
      <c r="F89" s="21">
        <f>I58</f>
        <v>-3274749</v>
      </c>
      <c r="H89" s="21">
        <f>'Rec.Data System-IN'!U17</f>
        <v>3552500</v>
      </c>
      <c r="I89" s="22">
        <f t="shared" si="1"/>
        <v>277751</v>
      </c>
    </row>
    <row r="90" spans="2:9" x14ac:dyDescent="0.2">
      <c r="B90" s="20"/>
      <c r="C90" s="19" t="s">
        <v>105</v>
      </c>
      <c r="F90" s="21">
        <f>I63</f>
        <v>-125000</v>
      </c>
      <c r="H90" s="21">
        <f>'Rec.Data System-IN'!V17</f>
        <v>2581000</v>
      </c>
      <c r="I90" s="22">
        <f t="shared" si="1"/>
        <v>2456000</v>
      </c>
    </row>
    <row r="91" spans="2:9" x14ac:dyDescent="0.2">
      <c r="B91" s="20"/>
      <c r="C91" s="19" t="s">
        <v>106</v>
      </c>
      <c r="F91" s="110">
        <f>I68</f>
        <v>12031000</v>
      </c>
      <c r="H91" s="21">
        <f>'Rec.Data System-IN'!W17</f>
        <v>3058000</v>
      </c>
      <c r="I91" s="22">
        <f t="shared" si="1"/>
        <v>15089000</v>
      </c>
    </row>
    <row r="92" spans="2:9" x14ac:dyDescent="0.2">
      <c r="B92" s="20"/>
      <c r="I92" s="22"/>
    </row>
    <row r="93" spans="2:9" ht="15.75" thickBot="1" x14ac:dyDescent="0.3">
      <c r="B93" s="20"/>
      <c r="C93" s="19" t="s">
        <v>25</v>
      </c>
      <c r="I93" s="83">
        <f>SUM(I87:I91)</f>
        <v>97046688</v>
      </c>
    </row>
    <row r="94" spans="2:9" ht="15" thickTop="1" x14ac:dyDescent="0.2">
      <c r="B94" s="20"/>
      <c r="I94" s="22"/>
    </row>
    <row r="95" spans="2:9" ht="21.75" x14ac:dyDescent="0.2">
      <c r="B95" s="111"/>
      <c r="C95" s="103" t="s">
        <v>26</v>
      </c>
      <c r="D95" s="103"/>
      <c r="E95" s="103"/>
      <c r="F95" s="103"/>
      <c r="G95" s="103"/>
      <c r="H95" s="103"/>
      <c r="I95" s="112"/>
    </row>
    <row r="96" spans="2:9" x14ac:dyDescent="0.2">
      <c r="B96" s="20"/>
      <c r="F96" s="19"/>
      <c r="H96" s="19"/>
      <c r="I96" s="22"/>
    </row>
    <row r="97" spans="2:15" ht="21.75" x14ac:dyDescent="0.2">
      <c r="B97" s="108"/>
      <c r="C97" s="102" t="s">
        <v>65</v>
      </c>
      <c r="D97" s="100"/>
      <c r="E97" s="102" t="s">
        <v>145</v>
      </c>
      <c r="F97" s="104" t="s">
        <v>114</v>
      </c>
      <c r="G97" s="101"/>
      <c r="H97" s="101"/>
      <c r="I97" s="109"/>
    </row>
    <row r="98" spans="2:15" x14ac:dyDescent="0.2">
      <c r="B98" s="80"/>
      <c r="F98" s="19" t="s">
        <v>113</v>
      </c>
      <c r="H98" s="113"/>
      <c r="I98" s="22"/>
    </row>
    <row r="99" spans="2:15" x14ac:dyDescent="0.2">
      <c r="B99" s="80"/>
      <c r="F99" s="19"/>
      <c r="H99" s="113"/>
      <c r="I99" s="22"/>
    </row>
    <row r="100" spans="2:15" x14ac:dyDescent="0.2">
      <c r="B100" s="80">
        <v>1</v>
      </c>
      <c r="C100" s="19" t="s">
        <v>259</v>
      </c>
      <c r="E100" s="19" t="s">
        <v>241</v>
      </c>
      <c r="F100" s="19" t="s">
        <v>135</v>
      </c>
      <c r="G100" s="19"/>
      <c r="H100" s="114">
        <v>6045685</v>
      </c>
      <c r="I100" s="22"/>
    </row>
    <row r="101" spans="2:15" x14ac:dyDescent="0.2">
      <c r="B101" s="80">
        <v>2</v>
      </c>
      <c r="C101" s="19" t="s">
        <v>260</v>
      </c>
      <c r="E101" s="19" t="s">
        <v>242</v>
      </c>
      <c r="F101" s="19" t="s">
        <v>135</v>
      </c>
      <c r="G101" s="19"/>
      <c r="H101" s="114">
        <v>1300000</v>
      </c>
      <c r="I101" s="22"/>
    </row>
    <row r="102" spans="2:15" x14ac:dyDescent="0.2">
      <c r="B102" s="80">
        <v>3</v>
      </c>
      <c r="C102" s="19" t="s">
        <v>262</v>
      </c>
      <c r="E102" s="19" t="s">
        <v>244</v>
      </c>
      <c r="F102" s="19" t="s">
        <v>135</v>
      </c>
      <c r="G102" s="19"/>
      <c r="H102" s="114">
        <v>1000000</v>
      </c>
      <c r="I102" s="22"/>
    </row>
    <row r="103" spans="2:15" x14ac:dyDescent="0.2">
      <c r="B103" s="80">
        <v>4</v>
      </c>
      <c r="C103" s="19" t="s">
        <v>263</v>
      </c>
      <c r="E103" s="19" t="s">
        <v>245</v>
      </c>
      <c r="F103" s="19" t="s">
        <v>135</v>
      </c>
      <c r="G103" s="19"/>
      <c r="H103" s="114">
        <v>341000</v>
      </c>
      <c r="I103" s="22"/>
    </row>
    <row r="104" spans="2:15" x14ac:dyDescent="0.2">
      <c r="B104" s="80">
        <v>5</v>
      </c>
      <c r="C104" s="19" t="s">
        <v>264</v>
      </c>
      <c r="E104" s="19" t="s">
        <v>246</v>
      </c>
      <c r="F104" s="19" t="s">
        <v>135</v>
      </c>
      <c r="G104" s="19"/>
      <c r="H104" s="114">
        <v>292000</v>
      </c>
      <c r="I104" s="22"/>
    </row>
    <row r="105" spans="2:15" x14ac:dyDescent="0.2">
      <c r="B105" s="80">
        <v>6</v>
      </c>
      <c r="C105" s="19" t="s">
        <v>265</v>
      </c>
      <c r="E105" s="19" t="s">
        <v>247</v>
      </c>
      <c r="F105" s="19" t="s">
        <v>135</v>
      </c>
      <c r="G105" s="19"/>
      <c r="H105" s="114">
        <v>473000</v>
      </c>
      <c r="I105" s="22"/>
    </row>
    <row r="106" spans="2:15" x14ac:dyDescent="0.2">
      <c r="B106" s="80">
        <v>7</v>
      </c>
      <c r="C106" s="19" t="s">
        <v>266</v>
      </c>
      <c r="E106" s="19" t="s">
        <v>248</v>
      </c>
      <c r="F106" s="19" t="s">
        <v>135</v>
      </c>
      <c r="G106" s="19"/>
      <c r="H106" s="114">
        <v>35002</v>
      </c>
      <c r="I106" s="22"/>
    </row>
    <row r="107" spans="2:15" x14ac:dyDescent="0.2">
      <c r="B107" s="80">
        <v>8</v>
      </c>
      <c r="C107" s="19" t="s">
        <v>267</v>
      </c>
      <c r="E107" s="19" t="s">
        <v>249</v>
      </c>
      <c r="F107" s="19" t="s">
        <v>135</v>
      </c>
      <c r="G107" s="19"/>
      <c r="H107" s="114">
        <v>300000</v>
      </c>
      <c r="I107" s="22"/>
    </row>
    <row r="108" spans="2:15" x14ac:dyDescent="0.2">
      <c r="B108" s="80">
        <v>9</v>
      </c>
      <c r="C108" s="19" t="s">
        <v>268</v>
      </c>
      <c r="E108" s="19" t="s">
        <v>250</v>
      </c>
      <c r="F108" s="19" t="s">
        <v>135</v>
      </c>
      <c r="G108" s="19"/>
      <c r="H108" s="114">
        <v>50000</v>
      </c>
      <c r="I108" s="22"/>
    </row>
    <row r="109" spans="2:15" x14ac:dyDescent="0.2">
      <c r="B109" s="80">
        <v>10</v>
      </c>
      <c r="C109" s="19" t="s">
        <v>269</v>
      </c>
      <c r="E109" s="19" t="s">
        <v>251</v>
      </c>
      <c r="F109" s="19" t="s">
        <v>135</v>
      </c>
      <c r="G109" s="19"/>
      <c r="H109" s="114">
        <v>200000</v>
      </c>
      <c r="I109" s="22"/>
    </row>
    <row r="110" spans="2:15" x14ac:dyDescent="0.2">
      <c r="B110" s="80">
        <v>11</v>
      </c>
      <c r="C110" s="19" t="s">
        <v>270</v>
      </c>
      <c r="E110" s="19" t="s">
        <v>252</v>
      </c>
      <c r="F110" s="19" t="s">
        <v>135</v>
      </c>
      <c r="G110" s="19"/>
      <c r="H110" s="114">
        <v>700000</v>
      </c>
      <c r="I110" s="22"/>
    </row>
    <row r="111" spans="2:15" x14ac:dyDescent="0.2">
      <c r="B111" s="80">
        <v>12</v>
      </c>
      <c r="C111" s="19" t="s">
        <v>271</v>
      </c>
      <c r="E111" s="19" t="s">
        <v>253</v>
      </c>
      <c r="F111" s="19" t="s">
        <v>135</v>
      </c>
      <c r="G111" s="19"/>
      <c r="H111" s="114">
        <v>2000000</v>
      </c>
      <c r="I111" s="22"/>
    </row>
    <row r="112" spans="2:15" x14ac:dyDescent="0.2">
      <c r="B112" s="80">
        <v>13</v>
      </c>
      <c r="C112" s="19" t="s">
        <v>272</v>
      </c>
      <c r="E112" s="19" t="s">
        <v>254</v>
      </c>
      <c r="F112" s="19" t="s">
        <v>135</v>
      </c>
      <c r="G112" s="19"/>
      <c r="H112" s="114">
        <v>600000</v>
      </c>
      <c r="I112" s="22"/>
      <c r="N112" s="21"/>
      <c r="O112" s="21"/>
    </row>
    <row r="113" spans="2:15" ht="16.5" x14ac:dyDescent="0.35">
      <c r="B113" s="80">
        <v>14</v>
      </c>
      <c r="C113" s="19" t="s">
        <v>275</v>
      </c>
      <c r="E113" s="19" t="s">
        <v>257</v>
      </c>
      <c r="F113" s="19" t="s">
        <v>135</v>
      </c>
      <c r="G113" s="19"/>
      <c r="H113" s="115">
        <v>15000000</v>
      </c>
      <c r="I113" s="22"/>
      <c r="N113" s="21"/>
      <c r="O113" s="21"/>
    </row>
    <row r="114" spans="2:15" x14ac:dyDescent="0.2">
      <c r="B114" s="80"/>
      <c r="C114" s="116" t="s">
        <v>139</v>
      </c>
      <c r="F114" s="19"/>
      <c r="G114" s="19"/>
      <c r="H114" s="114">
        <f>SUM(H100:H113)</f>
        <v>28336687</v>
      </c>
      <c r="I114" s="22">
        <f>I87-H114</f>
        <v>23407250</v>
      </c>
      <c r="N114" s="21"/>
      <c r="O114" s="21"/>
    </row>
    <row r="115" spans="2:15" x14ac:dyDescent="0.2">
      <c r="B115" s="80">
        <v>1</v>
      </c>
      <c r="C115" s="19" t="s">
        <v>273</v>
      </c>
      <c r="E115" s="19" t="s">
        <v>255</v>
      </c>
      <c r="F115" s="19" t="s">
        <v>104</v>
      </c>
      <c r="G115" s="19"/>
      <c r="H115" s="114">
        <v>15000000</v>
      </c>
      <c r="I115" s="22"/>
      <c r="N115" s="21"/>
      <c r="O115" s="21"/>
    </row>
    <row r="116" spans="2:15" x14ac:dyDescent="0.2">
      <c r="B116" s="80">
        <v>2</v>
      </c>
      <c r="C116" s="19" t="s">
        <v>274</v>
      </c>
      <c r="E116" s="19" t="s">
        <v>256</v>
      </c>
      <c r="F116" s="19" t="s">
        <v>104</v>
      </c>
      <c r="G116" s="19"/>
      <c r="H116" s="114">
        <v>7000000</v>
      </c>
      <c r="I116" s="22"/>
      <c r="N116" s="21"/>
      <c r="O116" s="21"/>
    </row>
    <row r="117" spans="2:15" x14ac:dyDescent="0.2">
      <c r="B117" s="80">
        <v>3</v>
      </c>
      <c r="F117" s="19" t="s">
        <v>104</v>
      </c>
      <c r="G117" s="19"/>
      <c r="H117" s="114">
        <v>0</v>
      </c>
      <c r="I117" s="22"/>
      <c r="N117" s="21"/>
      <c r="O117" s="21"/>
    </row>
    <row r="118" spans="2:15" ht="16.5" x14ac:dyDescent="0.35">
      <c r="B118" s="80">
        <v>4</v>
      </c>
      <c r="F118" s="19" t="s">
        <v>104</v>
      </c>
      <c r="G118" s="19"/>
      <c r="H118" s="115">
        <v>0</v>
      </c>
      <c r="I118" s="22"/>
      <c r="N118" s="21"/>
      <c r="O118" s="21"/>
    </row>
    <row r="119" spans="2:15" x14ac:dyDescent="0.2">
      <c r="B119" s="80"/>
      <c r="C119" s="116" t="s">
        <v>140</v>
      </c>
      <c r="F119" s="19"/>
      <c r="G119" s="19"/>
      <c r="H119" s="114">
        <f>SUM(H115:H118)</f>
        <v>22000000</v>
      </c>
      <c r="I119" s="22">
        <f>I88-H119</f>
        <v>5480000</v>
      </c>
      <c r="N119" s="21"/>
      <c r="O119" s="21"/>
    </row>
    <row r="120" spans="2:15" x14ac:dyDescent="0.2">
      <c r="B120" s="80">
        <v>1</v>
      </c>
      <c r="F120" s="19" t="s">
        <v>34</v>
      </c>
      <c r="G120" s="19"/>
      <c r="H120" s="114">
        <v>0</v>
      </c>
      <c r="I120" s="22"/>
      <c r="N120" s="21"/>
      <c r="O120" s="21"/>
    </row>
    <row r="121" spans="2:15" x14ac:dyDescent="0.2">
      <c r="B121" s="80">
        <v>2</v>
      </c>
      <c r="F121" s="19" t="s">
        <v>34</v>
      </c>
      <c r="G121" s="19"/>
      <c r="H121" s="114">
        <v>0</v>
      </c>
      <c r="I121" s="22"/>
      <c r="N121" s="21"/>
      <c r="O121" s="21"/>
    </row>
    <row r="122" spans="2:15" x14ac:dyDescent="0.2">
      <c r="B122" s="80">
        <v>3</v>
      </c>
      <c r="F122" s="19" t="s">
        <v>34</v>
      </c>
      <c r="G122" s="19"/>
      <c r="H122" s="114">
        <v>0</v>
      </c>
      <c r="I122" s="22"/>
      <c r="N122" s="21"/>
      <c r="O122" s="21"/>
    </row>
    <row r="123" spans="2:15" ht="16.5" x14ac:dyDescent="0.35">
      <c r="B123" s="80">
        <v>4</v>
      </c>
      <c r="F123" s="19" t="s">
        <v>34</v>
      </c>
      <c r="G123" s="19"/>
      <c r="H123" s="115">
        <v>0</v>
      </c>
      <c r="I123" s="22"/>
      <c r="N123" s="21"/>
      <c r="O123" s="21"/>
    </row>
    <row r="124" spans="2:15" x14ac:dyDescent="0.2">
      <c r="B124" s="80"/>
      <c r="C124" s="116" t="s">
        <v>141</v>
      </c>
      <c r="F124" s="19"/>
      <c r="G124" s="19"/>
      <c r="H124" s="114">
        <f>SUM(H120:H123)</f>
        <v>0</v>
      </c>
      <c r="I124" s="22">
        <f>I89-H124</f>
        <v>277751</v>
      </c>
      <c r="N124" s="21"/>
      <c r="O124" s="21"/>
    </row>
    <row r="125" spans="2:15" x14ac:dyDescent="0.2">
      <c r="B125" s="80">
        <v>1</v>
      </c>
      <c r="F125" s="19" t="s">
        <v>105</v>
      </c>
      <c r="G125" s="19"/>
      <c r="H125" s="114">
        <v>0</v>
      </c>
      <c r="I125" s="22"/>
      <c r="N125" s="21"/>
      <c r="O125" s="21"/>
    </row>
    <row r="126" spans="2:15" x14ac:dyDescent="0.2">
      <c r="B126" s="80">
        <v>2</v>
      </c>
      <c r="F126" s="19" t="s">
        <v>105</v>
      </c>
      <c r="G126" s="19"/>
      <c r="H126" s="114">
        <v>0</v>
      </c>
      <c r="I126" s="22"/>
      <c r="N126" s="21"/>
      <c r="O126" s="21"/>
    </row>
    <row r="127" spans="2:15" x14ac:dyDescent="0.2">
      <c r="B127" s="80">
        <v>3</v>
      </c>
      <c r="F127" s="19" t="s">
        <v>105</v>
      </c>
      <c r="G127" s="19"/>
      <c r="H127" s="114">
        <v>0</v>
      </c>
      <c r="I127" s="22"/>
      <c r="N127" s="21"/>
      <c r="O127" s="21"/>
    </row>
    <row r="128" spans="2:15" ht="16.5" x14ac:dyDescent="0.35">
      <c r="B128" s="80">
        <v>4</v>
      </c>
      <c r="F128" s="19" t="s">
        <v>105</v>
      </c>
      <c r="G128" s="19"/>
      <c r="H128" s="115">
        <v>0</v>
      </c>
      <c r="I128" s="22"/>
      <c r="N128" s="21"/>
      <c r="O128" s="21"/>
    </row>
    <row r="129" spans="2:15" x14ac:dyDescent="0.2">
      <c r="B129" s="80"/>
      <c r="C129" s="116" t="s">
        <v>142</v>
      </c>
      <c r="F129" s="19"/>
      <c r="G129" s="19"/>
      <c r="H129" s="114">
        <f>SUM(H125:H128)</f>
        <v>0</v>
      </c>
      <c r="I129" s="22">
        <f>I90-H129</f>
        <v>2456000</v>
      </c>
      <c r="N129" s="21"/>
      <c r="O129" s="21"/>
    </row>
    <row r="130" spans="2:15" x14ac:dyDescent="0.2">
      <c r="B130" s="80">
        <v>1</v>
      </c>
      <c r="C130" s="19" t="s">
        <v>261</v>
      </c>
      <c r="E130" s="19" t="s">
        <v>243</v>
      </c>
      <c r="F130" s="19" t="s">
        <v>143</v>
      </c>
      <c r="G130" s="19"/>
      <c r="H130" s="114">
        <v>1000000</v>
      </c>
      <c r="I130" s="22"/>
      <c r="N130" s="21"/>
      <c r="O130" s="21"/>
    </row>
    <row r="131" spans="2:15" x14ac:dyDescent="0.2">
      <c r="B131" s="80">
        <v>2</v>
      </c>
      <c r="C131" s="19" t="s">
        <v>276</v>
      </c>
      <c r="E131" s="19" t="s">
        <v>258</v>
      </c>
      <c r="F131" s="19" t="s">
        <v>143</v>
      </c>
      <c r="G131" s="19"/>
      <c r="H131" s="114">
        <v>492000</v>
      </c>
      <c r="I131" s="22"/>
      <c r="N131" s="21"/>
      <c r="O131" s="21"/>
    </row>
    <row r="132" spans="2:15" x14ac:dyDescent="0.2">
      <c r="B132" s="80">
        <v>3</v>
      </c>
      <c r="F132" s="19" t="s">
        <v>143</v>
      </c>
      <c r="G132" s="19"/>
      <c r="H132" s="114">
        <v>0</v>
      </c>
      <c r="I132" s="22"/>
      <c r="N132" s="21"/>
      <c r="O132" s="21"/>
    </row>
    <row r="133" spans="2:15" ht="16.5" x14ac:dyDescent="0.35">
      <c r="B133" s="80">
        <v>4</v>
      </c>
      <c r="F133" s="19" t="s">
        <v>143</v>
      </c>
      <c r="G133" s="19"/>
      <c r="H133" s="115">
        <v>0</v>
      </c>
      <c r="I133" s="22"/>
      <c r="N133" s="21"/>
      <c r="O133" s="21"/>
    </row>
    <row r="134" spans="2:15" x14ac:dyDescent="0.2">
      <c r="B134" s="80"/>
      <c r="C134" s="116" t="s">
        <v>144</v>
      </c>
      <c r="F134" s="19"/>
      <c r="G134" s="19"/>
      <c r="H134" s="114">
        <f>SUM(H130:H133)</f>
        <v>1492000</v>
      </c>
      <c r="I134" s="22">
        <f>I91-H134</f>
        <v>13597000</v>
      </c>
      <c r="N134" s="21"/>
      <c r="O134" s="21"/>
    </row>
    <row r="135" spans="2:15" x14ac:dyDescent="0.2">
      <c r="B135" s="20"/>
      <c r="I135" s="22"/>
    </row>
    <row r="136" spans="2:15" ht="15" thickBot="1" x14ac:dyDescent="0.25">
      <c r="B136" s="20"/>
      <c r="C136" s="19" t="s">
        <v>27</v>
      </c>
      <c r="H136" s="117">
        <f>H114+H119+H124+H129+H134</f>
        <v>51828687</v>
      </c>
      <c r="I136" s="81"/>
    </row>
    <row r="137" spans="2:15" x14ac:dyDescent="0.2">
      <c r="B137" s="20"/>
      <c r="I137" s="22"/>
    </row>
    <row r="138" spans="2:15" ht="15" x14ac:dyDescent="0.25">
      <c r="B138" s="20"/>
      <c r="C138" s="19" t="s">
        <v>28</v>
      </c>
      <c r="H138" s="19"/>
      <c r="I138" s="82">
        <f>I93-H136</f>
        <v>45218001</v>
      </c>
    </row>
    <row r="139" spans="2:15" x14ac:dyDescent="0.2">
      <c r="B139" s="24"/>
      <c r="C139" s="25"/>
      <c r="D139" s="25"/>
      <c r="E139" s="25"/>
      <c r="F139" s="23"/>
      <c r="G139" s="23"/>
      <c r="H139" s="23"/>
      <c r="I139" s="37"/>
    </row>
    <row r="143" spans="2:15" ht="28.9" customHeight="1" thickBot="1" x14ac:dyDescent="0.25">
      <c r="B143" s="192" t="str">
        <f>B16</f>
        <v>KIWI</v>
      </c>
      <c r="C143" s="193"/>
      <c r="D143" s="193"/>
      <c r="E143" s="193"/>
      <c r="F143" s="193"/>
      <c r="G143" s="193"/>
      <c r="H143" s="193"/>
      <c r="I143" s="193"/>
    </row>
    <row r="144" spans="2:15" ht="21.75" x14ac:dyDescent="0.2">
      <c r="B144" s="194" t="s">
        <v>21</v>
      </c>
      <c r="C144" s="194"/>
      <c r="D144" s="194"/>
      <c r="E144" s="194"/>
      <c r="F144" s="194"/>
      <c r="G144" s="194"/>
      <c r="H144" s="194"/>
      <c r="I144" s="195"/>
    </row>
    <row r="145" spans="2:9" ht="21.75" x14ac:dyDescent="0.2">
      <c r="B145" s="186" t="s">
        <v>184</v>
      </c>
      <c r="C145" s="186"/>
      <c r="D145" s="186"/>
      <c r="E145" s="186"/>
      <c r="F145" s="186"/>
      <c r="G145" s="186"/>
      <c r="H145" s="186"/>
      <c r="I145" s="196"/>
    </row>
    <row r="147" spans="2:9" ht="21.75" x14ac:dyDescent="0.2">
      <c r="B147" s="105"/>
      <c r="C147" s="106" t="s">
        <v>22</v>
      </c>
      <c r="D147" s="106"/>
      <c r="E147" s="106"/>
      <c r="F147" s="106"/>
      <c r="G147" s="106"/>
      <c r="H147" s="106"/>
      <c r="I147" s="107"/>
    </row>
    <row r="148" spans="2:9" x14ac:dyDescent="0.2">
      <c r="B148" s="20"/>
      <c r="I148" s="22"/>
    </row>
    <row r="149" spans="2:9" ht="21.75" x14ac:dyDescent="0.2">
      <c r="B149" s="108"/>
      <c r="C149" s="102" t="s">
        <v>63</v>
      </c>
      <c r="D149" s="100"/>
      <c r="E149" s="100"/>
      <c r="F149" s="101" t="s">
        <v>115</v>
      </c>
      <c r="G149" s="101"/>
      <c r="H149" s="101" t="s">
        <v>116</v>
      </c>
      <c r="I149" s="109" t="s">
        <v>17</v>
      </c>
    </row>
    <row r="150" spans="2:9" x14ac:dyDescent="0.2">
      <c r="B150" s="20"/>
      <c r="I150" s="22"/>
    </row>
    <row r="151" spans="2:9" x14ac:dyDescent="0.2">
      <c r="B151" s="20"/>
      <c r="C151" s="19" t="s">
        <v>23</v>
      </c>
      <c r="H151" s="21">
        <f>'Rec.Data System-IN'!R18</f>
        <v>1897115</v>
      </c>
      <c r="I151" s="22">
        <f t="shared" ref="I151:I157" si="2">F151+H151</f>
        <v>1897115</v>
      </c>
    </row>
    <row r="152" spans="2:9" x14ac:dyDescent="0.2">
      <c r="B152" s="20"/>
      <c r="C152" s="19" t="s">
        <v>24</v>
      </c>
      <c r="H152" s="110">
        <f>'Rec.Data System-IN'!S18</f>
        <v>24397399</v>
      </c>
      <c r="I152" s="22">
        <f t="shared" si="2"/>
        <v>24397399</v>
      </c>
    </row>
    <row r="153" spans="2:9" ht="25.5" customHeight="1" x14ac:dyDescent="0.2">
      <c r="B153" s="20"/>
      <c r="C153" s="7" t="s">
        <v>81</v>
      </c>
      <c r="F153" s="21">
        <f>I114</f>
        <v>23407250</v>
      </c>
      <c r="H153" s="21">
        <f>SUM(H151:H152)</f>
        <v>26294514</v>
      </c>
      <c r="I153" s="22">
        <f t="shared" si="2"/>
        <v>49701764</v>
      </c>
    </row>
    <row r="154" spans="2:9" x14ac:dyDescent="0.2">
      <c r="B154" s="20"/>
      <c r="C154" s="19" t="s">
        <v>104</v>
      </c>
      <c r="F154" s="21">
        <f>I119</f>
        <v>5480000</v>
      </c>
      <c r="H154" s="21">
        <f>'Rec.Data System-IN'!T18</f>
        <v>33034000</v>
      </c>
      <c r="I154" s="22">
        <f t="shared" si="2"/>
        <v>38514000</v>
      </c>
    </row>
    <row r="155" spans="2:9" x14ac:dyDescent="0.2">
      <c r="B155" s="20"/>
      <c r="C155" s="19" t="s">
        <v>34</v>
      </c>
      <c r="F155" s="21">
        <f>I124</f>
        <v>277751</v>
      </c>
      <c r="H155" s="21">
        <f>'Rec.Data System-IN'!U18</f>
        <v>1345000</v>
      </c>
      <c r="I155" s="22">
        <f t="shared" si="2"/>
        <v>1622751</v>
      </c>
    </row>
    <row r="156" spans="2:9" x14ac:dyDescent="0.2">
      <c r="B156" s="20"/>
      <c r="C156" s="19" t="s">
        <v>105</v>
      </c>
      <c r="F156" s="21">
        <f>I129</f>
        <v>2456000</v>
      </c>
      <c r="H156" s="21">
        <f>'Rec.Data System-IN'!V18</f>
        <v>732000</v>
      </c>
      <c r="I156" s="22">
        <f t="shared" si="2"/>
        <v>3188000</v>
      </c>
    </row>
    <row r="157" spans="2:9" x14ac:dyDescent="0.2">
      <c r="B157" s="20"/>
      <c r="C157" s="19" t="s">
        <v>106</v>
      </c>
      <c r="F157" s="110">
        <f>I134</f>
        <v>13597000</v>
      </c>
      <c r="H157" s="21">
        <f>'Rec.Data System-IN'!W18</f>
        <v>5085040</v>
      </c>
      <c r="I157" s="22">
        <f t="shared" si="2"/>
        <v>18682040</v>
      </c>
    </row>
    <row r="158" spans="2:9" x14ac:dyDescent="0.2">
      <c r="B158" s="20"/>
      <c r="I158" s="22"/>
    </row>
    <row r="159" spans="2:9" ht="15.75" thickBot="1" x14ac:dyDescent="0.3">
      <c r="B159" s="20"/>
      <c r="C159" s="19" t="s">
        <v>25</v>
      </c>
      <c r="I159" s="83">
        <f>SUM(I153:I157)</f>
        <v>111708555</v>
      </c>
    </row>
    <row r="160" spans="2:9" ht="15" thickTop="1" x14ac:dyDescent="0.2">
      <c r="B160" s="20"/>
      <c r="I160" s="22"/>
    </row>
    <row r="161" spans="2:9" ht="21.75" x14ac:dyDescent="0.2">
      <c r="B161" s="111"/>
      <c r="C161" s="103" t="s">
        <v>26</v>
      </c>
      <c r="D161" s="103"/>
      <c r="E161" s="103"/>
      <c r="F161" s="103"/>
      <c r="G161" s="103"/>
      <c r="H161" s="103"/>
      <c r="I161" s="112"/>
    </row>
    <row r="162" spans="2:9" x14ac:dyDescent="0.2">
      <c r="B162" s="20"/>
      <c r="F162" s="19"/>
      <c r="H162" s="19"/>
      <c r="I162" s="22"/>
    </row>
    <row r="163" spans="2:9" ht="21.75" x14ac:dyDescent="0.2">
      <c r="B163" s="108"/>
      <c r="C163" s="102" t="s">
        <v>65</v>
      </c>
      <c r="D163" s="100"/>
      <c r="E163" s="102" t="s">
        <v>145</v>
      </c>
      <c r="F163" s="104" t="s">
        <v>114</v>
      </c>
      <c r="G163" s="101"/>
      <c r="H163" s="101"/>
      <c r="I163" s="109"/>
    </row>
    <row r="164" spans="2:9" x14ac:dyDescent="0.2">
      <c r="B164" s="80"/>
      <c r="F164" s="19" t="s">
        <v>113</v>
      </c>
      <c r="H164" s="113"/>
      <c r="I164" s="22"/>
    </row>
    <row r="165" spans="2:9" x14ac:dyDescent="0.2">
      <c r="B165" s="80"/>
      <c r="F165" s="19"/>
      <c r="H165" s="113"/>
      <c r="I165" s="22"/>
    </row>
    <row r="166" spans="2:9" x14ac:dyDescent="0.2">
      <c r="B166" s="80">
        <v>1</v>
      </c>
      <c r="C166" s="19" t="s">
        <v>314</v>
      </c>
      <c r="E166" s="19" t="s">
        <v>280</v>
      </c>
      <c r="F166" s="19" t="s">
        <v>135</v>
      </c>
      <c r="G166" s="19"/>
      <c r="H166" s="114">
        <v>1880000</v>
      </c>
      <c r="I166" s="22"/>
    </row>
    <row r="167" spans="2:9" x14ac:dyDescent="0.2">
      <c r="B167" s="80">
        <v>2</v>
      </c>
      <c r="C167" s="19" t="s">
        <v>315</v>
      </c>
      <c r="E167" s="19" t="s">
        <v>281</v>
      </c>
      <c r="F167" s="19" t="s">
        <v>135</v>
      </c>
      <c r="G167" s="19"/>
      <c r="H167" s="114">
        <v>678100</v>
      </c>
      <c r="I167" s="22"/>
    </row>
    <row r="168" spans="2:9" x14ac:dyDescent="0.2">
      <c r="B168" s="80">
        <v>3</v>
      </c>
      <c r="C168" s="19" t="s">
        <v>316</v>
      </c>
      <c r="E168" s="19" t="s">
        <v>282</v>
      </c>
      <c r="F168" s="19" t="s">
        <v>135</v>
      </c>
      <c r="G168" s="19"/>
      <c r="H168" s="114">
        <v>500000</v>
      </c>
      <c r="I168" s="22"/>
    </row>
    <row r="169" spans="2:9" x14ac:dyDescent="0.2">
      <c r="B169" s="80">
        <v>4</v>
      </c>
      <c r="C169" s="19" t="s">
        <v>317</v>
      </c>
      <c r="E169" s="19" t="s">
        <v>283</v>
      </c>
      <c r="F169" s="19" t="s">
        <v>135</v>
      </c>
      <c r="G169" s="19"/>
      <c r="H169" s="114">
        <v>300000</v>
      </c>
      <c r="I169" s="22"/>
    </row>
    <row r="170" spans="2:9" x14ac:dyDescent="0.2">
      <c r="B170" s="80">
        <v>5</v>
      </c>
      <c r="C170" s="19" t="s">
        <v>319</v>
      </c>
      <c r="E170" s="19" t="s">
        <v>285</v>
      </c>
      <c r="F170" s="19" t="s">
        <v>135</v>
      </c>
      <c r="G170" s="19"/>
      <c r="H170" s="114">
        <v>1000000</v>
      </c>
      <c r="I170" s="22"/>
    </row>
    <row r="171" spans="2:9" x14ac:dyDescent="0.2">
      <c r="B171" s="80">
        <v>6</v>
      </c>
      <c r="C171" s="19" t="s">
        <v>320</v>
      </c>
      <c r="E171" s="19" t="s">
        <v>286</v>
      </c>
      <c r="F171" s="19" t="s">
        <v>135</v>
      </c>
      <c r="G171" s="19"/>
      <c r="H171" s="114">
        <v>1532699</v>
      </c>
      <c r="I171" s="22"/>
    </row>
    <row r="172" spans="2:9" x14ac:dyDescent="0.2">
      <c r="B172" s="80">
        <v>7</v>
      </c>
      <c r="C172" s="19" t="s">
        <v>321</v>
      </c>
      <c r="E172" s="19" t="s">
        <v>287</v>
      </c>
      <c r="F172" s="19" t="s">
        <v>135</v>
      </c>
      <c r="G172" s="19"/>
      <c r="H172" s="114">
        <v>2250000</v>
      </c>
      <c r="I172" s="22"/>
    </row>
    <row r="173" spans="2:9" x14ac:dyDescent="0.2">
      <c r="B173" s="80">
        <v>8</v>
      </c>
      <c r="C173" s="19" t="s">
        <v>322</v>
      </c>
      <c r="E173" s="19" t="s">
        <v>288</v>
      </c>
      <c r="F173" s="19" t="s">
        <v>135</v>
      </c>
      <c r="G173" s="19"/>
      <c r="H173" s="114">
        <v>510000</v>
      </c>
      <c r="I173" s="22"/>
    </row>
    <row r="174" spans="2:9" x14ac:dyDescent="0.2">
      <c r="B174" s="80">
        <v>9</v>
      </c>
      <c r="C174" s="19" t="s">
        <v>323</v>
      </c>
      <c r="E174" s="19" t="s">
        <v>289</v>
      </c>
      <c r="F174" s="19" t="s">
        <v>135</v>
      </c>
      <c r="G174" s="19"/>
      <c r="H174" s="114">
        <v>600000</v>
      </c>
      <c r="I174" s="22"/>
    </row>
    <row r="175" spans="2:9" x14ac:dyDescent="0.2">
      <c r="B175" s="80">
        <v>10</v>
      </c>
      <c r="C175" s="19" t="s">
        <v>324</v>
      </c>
      <c r="E175" s="19" t="s">
        <v>290</v>
      </c>
      <c r="F175" s="19" t="s">
        <v>135</v>
      </c>
      <c r="G175" s="19"/>
      <c r="H175" s="114">
        <v>300000</v>
      </c>
      <c r="I175" s="22"/>
    </row>
    <row r="176" spans="2:9" x14ac:dyDescent="0.2">
      <c r="B176" s="80">
        <v>11</v>
      </c>
      <c r="C176" s="19" t="s">
        <v>325</v>
      </c>
      <c r="E176" s="19" t="s">
        <v>291</v>
      </c>
      <c r="F176" s="19" t="s">
        <v>135</v>
      </c>
      <c r="G176" s="19"/>
      <c r="H176" s="114">
        <v>47508</v>
      </c>
      <c r="I176" s="22"/>
    </row>
    <row r="177" spans="2:15" x14ac:dyDescent="0.2">
      <c r="B177" s="80">
        <v>12</v>
      </c>
      <c r="C177" s="19" t="s">
        <v>326</v>
      </c>
      <c r="E177" s="19" t="s">
        <v>292</v>
      </c>
      <c r="F177" s="19" t="s">
        <v>135</v>
      </c>
      <c r="G177" s="19"/>
      <c r="H177" s="114">
        <v>77000</v>
      </c>
      <c r="I177" s="22"/>
    </row>
    <row r="178" spans="2:15" x14ac:dyDescent="0.2">
      <c r="B178" s="80">
        <v>13</v>
      </c>
      <c r="C178" s="19" t="s">
        <v>327</v>
      </c>
      <c r="E178" s="19" t="s">
        <v>293</v>
      </c>
      <c r="F178" s="19" t="s">
        <v>135</v>
      </c>
      <c r="G178" s="19"/>
      <c r="H178" s="114">
        <v>648000</v>
      </c>
      <c r="I178" s="22"/>
    </row>
    <row r="179" spans="2:15" x14ac:dyDescent="0.2">
      <c r="B179" s="80">
        <v>14</v>
      </c>
      <c r="C179" s="19" t="s">
        <v>328</v>
      </c>
      <c r="E179" s="19" t="s">
        <v>294</v>
      </c>
      <c r="F179" s="19" t="s">
        <v>135</v>
      </c>
      <c r="G179" s="19"/>
      <c r="H179" s="114">
        <v>1000000</v>
      </c>
      <c r="I179" s="22"/>
    </row>
    <row r="180" spans="2:15" x14ac:dyDescent="0.2">
      <c r="B180" s="80">
        <v>15</v>
      </c>
      <c r="C180" s="19" t="s">
        <v>329</v>
      </c>
      <c r="E180" s="19" t="s">
        <v>295</v>
      </c>
      <c r="F180" s="19" t="s">
        <v>135</v>
      </c>
      <c r="G180" s="19"/>
      <c r="H180" s="114">
        <v>1418500</v>
      </c>
      <c r="I180" s="22"/>
    </row>
    <row r="181" spans="2:15" x14ac:dyDescent="0.2">
      <c r="B181" s="80">
        <v>16</v>
      </c>
      <c r="C181" s="19" t="s">
        <v>330</v>
      </c>
      <c r="E181" s="19" t="s">
        <v>296</v>
      </c>
      <c r="F181" s="19" t="s">
        <v>135</v>
      </c>
      <c r="G181" s="19"/>
      <c r="H181" s="114">
        <v>593000</v>
      </c>
      <c r="I181" s="22"/>
    </row>
    <row r="182" spans="2:15" x14ac:dyDescent="0.2">
      <c r="B182" s="80">
        <v>17</v>
      </c>
      <c r="C182" s="19" t="s">
        <v>331</v>
      </c>
      <c r="E182" s="19" t="s">
        <v>297</v>
      </c>
      <c r="F182" s="19" t="s">
        <v>135</v>
      </c>
      <c r="G182" s="19"/>
      <c r="H182" s="114">
        <v>500000</v>
      </c>
      <c r="I182" s="22"/>
    </row>
    <row r="183" spans="2:15" x14ac:dyDescent="0.2">
      <c r="B183" s="80">
        <v>18</v>
      </c>
      <c r="C183" s="19" t="s">
        <v>332</v>
      </c>
      <c r="E183" s="19" t="s">
        <v>298</v>
      </c>
      <c r="F183" s="19" t="s">
        <v>135</v>
      </c>
      <c r="G183" s="19"/>
      <c r="H183" s="114">
        <v>700000</v>
      </c>
      <c r="I183" s="22"/>
    </row>
    <row r="184" spans="2:15" x14ac:dyDescent="0.2">
      <c r="B184" s="80">
        <v>19</v>
      </c>
      <c r="C184" s="19" t="s">
        <v>333</v>
      </c>
      <c r="E184" s="19" t="s">
        <v>299</v>
      </c>
      <c r="F184" s="19" t="s">
        <v>135</v>
      </c>
      <c r="G184" s="19"/>
      <c r="H184" s="114">
        <v>221000</v>
      </c>
      <c r="I184" s="22"/>
    </row>
    <row r="185" spans="2:15" x14ac:dyDescent="0.2">
      <c r="B185" s="80">
        <v>20</v>
      </c>
      <c r="C185" s="19" t="s">
        <v>334</v>
      </c>
      <c r="E185" s="19" t="s">
        <v>300</v>
      </c>
      <c r="F185" s="19" t="s">
        <v>135</v>
      </c>
      <c r="G185" s="19"/>
      <c r="H185" s="114">
        <v>300000</v>
      </c>
      <c r="I185" s="22"/>
    </row>
    <row r="186" spans="2:15" x14ac:dyDescent="0.2">
      <c r="B186" s="80">
        <v>21</v>
      </c>
      <c r="C186" s="19" t="s">
        <v>335</v>
      </c>
      <c r="E186" s="19" t="s">
        <v>301</v>
      </c>
      <c r="F186" s="19" t="s">
        <v>135</v>
      </c>
      <c r="G186" s="19"/>
      <c r="H186" s="114">
        <v>2970850</v>
      </c>
      <c r="I186" s="22"/>
    </row>
    <row r="187" spans="2:15" x14ac:dyDescent="0.2">
      <c r="B187" s="80">
        <v>22</v>
      </c>
      <c r="C187" s="19" t="s">
        <v>338</v>
      </c>
      <c r="E187" s="19" t="s">
        <v>304</v>
      </c>
      <c r="F187" s="19" t="s">
        <v>135</v>
      </c>
      <c r="G187" s="19"/>
      <c r="H187" s="114">
        <v>2300000</v>
      </c>
      <c r="I187" s="22"/>
    </row>
    <row r="188" spans="2:15" x14ac:dyDescent="0.2">
      <c r="B188" s="80">
        <v>23</v>
      </c>
      <c r="C188" s="19" t="s">
        <v>339</v>
      </c>
      <c r="E188" s="19" t="s">
        <v>305</v>
      </c>
      <c r="F188" s="19" t="s">
        <v>135</v>
      </c>
      <c r="G188" s="19"/>
      <c r="H188" s="114">
        <v>1000000</v>
      </c>
      <c r="I188" s="22"/>
      <c r="N188" s="21"/>
      <c r="O188" s="21"/>
    </row>
    <row r="189" spans="2:15" ht="16.5" x14ac:dyDescent="0.35">
      <c r="B189" s="80">
        <v>24</v>
      </c>
      <c r="C189" s="19" t="s">
        <v>340</v>
      </c>
      <c r="E189" s="19" t="s">
        <v>306</v>
      </c>
      <c r="F189" s="19" t="s">
        <v>135</v>
      </c>
      <c r="G189" s="19"/>
      <c r="H189" s="115">
        <v>300000</v>
      </c>
      <c r="I189" s="22"/>
      <c r="N189" s="21"/>
      <c r="O189" s="21"/>
    </row>
    <row r="190" spans="2:15" x14ac:dyDescent="0.2">
      <c r="B190" s="80"/>
      <c r="C190" s="116" t="s">
        <v>139</v>
      </c>
      <c r="F190" s="19"/>
      <c r="G190" s="19"/>
      <c r="H190" s="114">
        <f>SUM(H166:H189)</f>
        <v>21626657</v>
      </c>
      <c r="I190" s="22">
        <f>I153-H190</f>
        <v>28075107</v>
      </c>
      <c r="N190" s="21"/>
      <c r="O190" s="21"/>
    </row>
    <row r="191" spans="2:15" x14ac:dyDescent="0.2">
      <c r="B191" s="80">
        <v>1</v>
      </c>
      <c r="C191" s="19" t="s">
        <v>341</v>
      </c>
      <c r="E191" s="19" t="s">
        <v>307</v>
      </c>
      <c r="F191" s="19" t="s">
        <v>104</v>
      </c>
      <c r="G191" s="19"/>
      <c r="H191" s="114">
        <v>2500000</v>
      </c>
      <c r="I191" s="22"/>
      <c r="N191" s="21"/>
      <c r="O191" s="21"/>
    </row>
    <row r="192" spans="2:15" x14ac:dyDescent="0.2">
      <c r="B192" s="80">
        <v>2</v>
      </c>
      <c r="C192" s="19" t="s">
        <v>342</v>
      </c>
      <c r="E192" s="19" t="s">
        <v>308</v>
      </c>
      <c r="F192" s="19" t="s">
        <v>104</v>
      </c>
      <c r="G192" s="19"/>
      <c r="H192" s="114">
        <v>7000000</v>
      </c>
      <c r="I192" s="22"/>
      <c r="N192" s="21"/>
      <c r="O192" s="21"/>
    </row>
    <row r="193" spans="2:15" x14ac:dyDescent="0.2">
      <c r="B193" s="80">
        <v>3</v>
      </c>
      <c r="C193" s="19" t="s">
        <v>343</v>
      </c>
      <c r="E193" s="19" t="s">
        <v>309</v>
      </c>
      <c r="F193" s="19" t="s">
        <v>104</v>
      </c>
      <c r="G193" s="19"/>
      <c r="H193" s="114">
        <v>7000000</v>
      </c>
      <c r="I193" s="22"/>
      <c r="N193" s="21"/>
      <c r="O193" s="21"/>
    </row>
    <row r="194" spans="2:15" x14ac:dyDescent="0.2">
      <c r="B194" s="80">
        <v>4</v>
      </c>
      <c r="C194" s="19" t="s">
        <v>344</v>
      </c>
      <c r="E194" s="19" t="s">
        <v>310</v>
      </c>
      <c r="F194" s="19" t="s">
        <v>104</v>
      </c>
      <c r="G194" s="19"/>
      <c r="H194" s="114">
        <v>10000000</v>
      </c>
      <c r="I194" s="22"/>
      <c r="N194" s="21"/>
      <c r="O194" s="21"/>
    </row>
    <row r="195" spans="2:15" x14ac:dyDescent="0.2">
      <c r="B195" s="80">
        <v>5</v>
      </c>
      <c r="C195" s="19" t="s">
        <v>345</v>
      </c>
      <c r="E195" s="19" t="s">
        <v>311</v>
      </c>
      <c r="F195" s="19" t="s">
        <v>104</v>
      </c>
      <c r="G195" s="19"/>
      <c r="H195" s="114">
        <v>11000000</v>
      </c>
      <c r="I195" s="22"/>
      <c r="N195" s="21"/>
      <c r="O195" s="21"/>
    </row>
    <row r="196" spans="2:15" ht="16.5" x14ac:dyDescent="0.35">
      <c r="B196" s="80">
        <v>6</v>
      </c>
      <c r="C196" s="19" t="s">
        <v>346</v>
      </c>
      <c r="E196" s="19" t="s">
        <v>312</v>
      </c>
      <c r="F196" s="19" t="s">
        <v>104</v>
      </c>
      <c r="G196" s="19"/>
      <c r="H196" s="115">
        <v>3000000</v>
      </c>
      <c r="I196" s="22"/>
      <c r="N196" s="21"/>
      <c r="O196" s="21"/>
    </row>
    <row r="197" spans="2:15" x14ac:dyDescent="0.2">
      <c r="B197" s="80"/>
      <c r="C197" s="116" t="s">
        <v>140</v>
      </c>
      <c r="F197" s="19"/>
      <c r="G197" s="19"/>
      <c r="H197" s="114">
        <f>SUM(H191:H196)</f>
        <v>40500000</v>
      </c>
      <c r="I197" s="22">
        <f>I154-H197</f>
        <v>-1986000</v>
      </c>
      <c r="N197" s="21"/>
      <c r="O197" s="21"/>
    </row>
    <row r="198" spans="2:15" x14ac:dyDescent="0.2">
      <c r="B198" s="80">
        <v>1</v>
      </c>
      <c r="F198" s="19" t="s">
        <v>34</v>
      </c>
      <c r="G198" s="19"/>
      <c r="H198" s="114">
        <v>0</v>
      </c>
      <c r="I198" s="22"/>
      <c r="N198" s="21"/>
      <c r="O198" s="21"/>
    </row>
    <row r="199" spans="2:15" x14ac:dyDescent="0.2">
      <c r="B199" s="80">
        <v>2</v>
      </c>
      <c r="F199" s="19" t="s">
        <v>34</v>
      </c>
      <c r="G199" s="19"/>
      <c r="H199" s="114">
        <v>0</v>
      </c>
      <c r="I199" s="22"/>
      <c r="N199" s="21"/>
      <c r="O199" s="21"/>
    </row>
    <row r="200" spans="2:15" x14ac:dyDescent="0.2">
      <c r="B200" s="80">
        <v>3</v>
      </c>
      <c r="F200" s="19" t="s">
        <v>34</v>
      </c>
      <c r="G200" s="19"/>
      <c r="H200" s="114">
        <v>0</v>
      </c>
      <c r="I200" s="22"/>
      <c r="N200" s="21"/>
      <c r="O200" s="21"/>
    </row>
    <row r="201" spans="2:15" ht="16.5" x14ac:dyDescent="0.35">
      <c r="B201" s="80">
        <v>4</v>
      </c>
      <c r="F201" s="19" t="s">
        <v>34</v>
      </c>
      <c r="G201" s="19"/>
      <c r="H201" s="115">
        <v>0</v>
      </c>
      <c r="I201" s="22"/>
      <c r="N201" s="21"/>
      <c r="O201" s="21"/>
    </row>
    <row r="202" spans="2:15" x14ac:dyDescent="0.2">
      <c r="B202" s="80"/>
      <c r="C202" s="116" t="s">
        <v>141</v>
      </c>
      <c r="F202" s="19"/>
      <c r="G202" s="19"/>
      <c r="H202" s="114">
        <f>SUM(H198:H201)</f>
        <v>0</v>
      </c>
      <c r="I202" s="22">
        <f>I155-H202</f>
        <v>1622751</v>
      </c>
      <c r="N202" s="21"/>
      <c r="O202" s="21"/>
    </row>
    <row r="203" spans="2:15" x14ac:dyDescent="0.2">
      <c r="B203" s="80">
        <v>1</v>
      </c>
      <c r="C203" s="19" t="s">
        <v>337</v>
      </c>
      <c r="E203" s="19" t="s">
        <v>303</v>
      </c>
      <c r="F203" s="19" t="s">
        <v>105</v>
      </c>
      <c r="G203" s="19"/>
      <c r="H203" s="114">
        <v>450000</v>
      </c>
      <c r="I203" s="22"/>
      <c r="N203" s="21"/>
      <c r="O203" s="21"/>
    </row>
    <row r="204" spans="2:15" x14ac:dyDescent="0.2">
      <c r="B204" s="80">
        <v>2</v>
      </c>
      <c r="F204" s="19" t="s">
        <v>105</v>
      </c>
      <c r="G204" s="19"/>
      <c r="H204" s="114">
        <v>0</v>
      </c>
      <c r="I204" s="22"/>
      <c r="N204" s="21"/>
      <c r="O204" s="21"/>
    </row>
    <row r="205" spans="2:15" x14ac:dyDescent="0.2">
      <c r="B205" s="80">
        <v>3</v>
      </c>
      <c r="F205" s="19" t="s">
        <v>105</v>
      </c>
      <c r="G205" s="19"/>
      <c r="H205" s="114">
        <v>0</v>
      </c>
      <c r="I205" s="22"/>
      <c r="N205" s="21"/>
      <c r="O205" s="21"/>
    </row>
    <row r="206" spans="2:15" ht="16.5" x14ac:dyDescent="0.35">
      <c r="B206" s="80">
        <v>4</v>
      </c>
      <c r="F206" s="19" t="s">
        <v>105</v>
      </c>
      <c r="G206" s="19"/>
      <c r="H206" s="115">
        <v>0</v>
      </c>
      <c r="I206" s="22"/>
      <c r="N206" s="21"/>
      <c r="O206" s="21"/>
    </row>
    <row r="207" spans="2:15" x14ac:dyDescent="0.2">
      <c r="B207" s="80"/>
      <c r="C207" s="116" t="s">
        <v>142</v>
      </c>
      <c r="F207" s="19"/>
      <c r="G207" s="19"/>
      <c r="H207" s="114">
        <f>SUM(H203:H206)</f>
        <v>450000</v>
      </c>
      <c r="I207" s="22">
        <f>I156-H207</f>
        <v>2738000</v>
      </c>
      <c r="N207" s="21"/>
      <c r="O207" s="21"/>
    </row>
    <row r="208" spans="2:15" x14ac:dyDescent="0.2">
      <c r="B208" s="80">
        <v>1</v>
      </c>
      <c r="C208" s="19" t="s">
        <v>318</v>
      </c>
      <c r="E208" s="19" t="s">
        <v>284</v>
      </c>
      <c r="F208" s="19" t="s">
        <v>143</v>
      </c>
      <c r="G208" s="19"/>
      <c r="H208" s="114">
        <v>1250000</v>
      </c>
      <c r="I208" s="22"/>
      <c r="N208" s="21"/>
      <c r="O208" s="21"/>
    </row>
    <row r="209" spans="2:15" x14ac:dyDescent="0.2">
      <c r="B209" s="80">
        <v>2</v>
      </c>
      <c r="C209" s="19" t="s">
        <v>336</v>
      </c>
      <c r="E209" s="19" t="s">
        <v>302</v>
      </c>
      <c r="F209" s="19" t="s">
        <v>143</v>
      </c>
      <c r="G209" s="19"/>
      <c r="H209" s="114">
        <v>1500000</v>
      </c>
      <c r="I209" s="22"/>
      <c r="N209" s="21"/>
      <c r="O209" s="21"/>
    </row>
    <row r="210" spans="2:15" x14ac:dyDescent="0.2">
      <c r="B210" s="80">
        <v>3</v>
      </c>
      <c r="C210" s="19" t="s">
        <v>347</v>
      </c>
      <c r="E210" s="19" t="s">
        <v>313</v>
      </c>
      <c r="F210" s="19" t="s">
        <v>143</v>
      </c>
      <c r="G210" s="19"/>
      <c r="H210" s="114">
        <v>691040</v>
      </c>
      <c r="I210" s="22"/>
      <c r="N210" s="21"/>
      <c r="O210" s="21"/>
    </row>
    <row r="211" spans="2:15" ht="16.5" x14ac:dyDescent="0.35">
      <c r="B211" s="80">
        <v>4</v>
      </c>
      <c r="F211" s="19" t="s">
        <v>143</v>
      </c>
      <c r="G211" s="19"/>
      <c r="H211" s="115">
        <v>0</v>
      </c>
      <c r="I211" s="22"/>
      <c r="N211" s="21"/>
      <c r="O211" s="21"/>
    </row>
    <row r="212" spans="2:15" x14ac:dyDescent="0.2">
      <c r="B212" s="80"/>
      <c r="C212" s="116" t="s">
        <v>144</v>
      </c>
      <c r="F212" s="19"/>
      <c r="G212" s="19"/>
      <c r="H212" s="114">
        <f>SUM(H208:H211)</f>
        <v>3441040</v>
      </c>
      <c r="I212" s="22">
        <f>I157-H212</f>
        <v>15241000</v>
      </c>
      <c r="N212" s="21"/>
      <c r="O212" s="21"/>
    </row>
    <row r="213" spans="2:15" x14ac:dyDescent="0.2">
      <c r="B213" s="20"/>
      <c r="I213" s="22"/>
    </row>
    <row r="214" spans="2:15" ht="15" thickBot="1" x14ac:dyDescent="0.25">
      <c r="B214" s="20"/>
      <c r="C214" s="19" t="s">
        <v>27</v>
      </c>
      <c r="H214" s="117">
        <f>H190+H197+H202+H207+H212</f>
        <v>66017697</v>
      </c>
      <c r="I214" s="81"/>
    </row>
    <row r="215" spans="2:15" x14ac:dyDescent="0.2">
      <c r="B215" s="20"/>
      <c r="I215" s="22"/>
    </row>
    <row r="216" spans="2:15" ht="15" x14ac:dyDescent="0.25">
      <c r="B216" s="20"/>
      <c r="C216" s="19" t="s">
        <v>28</v>
      </c>
      <c r="H216" s="19"/>
      <c r="I216" s="82">
        <f>I159-H214</f>
        <v>45690858</v>
      </c>
    </row>
    <row r="217" spans="2:15" x14ac:dyDescent="0.2">
      <c r="B217" s="24"/>
      <c r="C217" s="25"/>
      <c r="D217" s="25"/>
      <c r="E217" s="25"/>
      <c r="F217" s="23"/>
      <c r="G217" s="23"/>
      <c r="H217" s="23"/>
      <c r="I217" s="37"/>
    </row>
    <row r="221" spans="2:15" ht="28.9" customHeight="1" thickBot="1" x14ac:dyDescent="0.25">
      <c r="B221" s="192" t="str">
        <f>B16</f>
        <v>KIWI</v>
      </c>
      <c r="C221" s="193"/>
      <c r="D221" s="193"/>
      <c r="E221" s="193"/>
      <c r="F221" s="193"/>
      <c r="G221" s="193"/>
      <c r="H221" s="193"/>
      <c r="I221" s="193"/>
    </row>
    <row r="222" spans="2:15" ht="21.75" x14ac:dyDescent="0.2">
      <c r="B222" s="194" t="s">
        <v>21</v>
      </c>
      <c r="C222" s="194"/>
      <c r="D222" s="194"/>
      <c r="E222" s="194"/>
      <c r="F222" s="194"/>
      <c r="G222" s="194"/>
      <c r="H222" s="194"/>
      <c r="I222" s="195"/>
    </row>
    <row r="223" spans="2:15" ht="21.75" x14ac:dyDescent="0.2">
      <c r="B223" s="186" t="s">
        <v>185</v>
      </c>
      <c r="C223" s="186"/>
      <c r="D223" s="186"/>
      <c r="E223" s="186"/>
      <c r="F223" s="186"/>
      <c r="G223" s="186"/>
      <c r="H223" s="186"/>
      <c r="I223" s="196"/>
    </row>
    <row r="225" spans="2:9" ht="21.75" x14ac:dyDescent="0.2">
      <c r="B225" s="105"/>
      <c r="C225" s="106" t="s">
        <v>22</v>
      </c>
      <c r="D225" s="106"/>
      <c r="E225" s="106"/>
      <c r="F225" s="106"/>
      <c r="G225" s="106"/>
      <c r="H225" s="106"/>
      <c r="I225" s="107"/>
    </row>
    <row r="226" spans="2:9" x14ac:dyDescent="0.2">
      <c r="B226" s="20"/>
      <c r="I226" s="22"/>
    </row>
    <row r="227" spans="2:9" ht="21.75" x14ac:dyDescent="0.2">
      <c r="B227" s="108"/>
      <c r="C227" s="102" t="s">
        <v>63</v>
      </c>
      <c r="D227" s="100"/>
      <c r="E227" s="100"/>
      <c r="F227" s="101" t="s">
        <v>115</v>
      </c>
      <c r="G227" s="101"/>
      <c r="H227" s="101" t="s">
        <v>116</v>
      </c>
      <c r="I227" s="109" t="s">
        <v>17</v>
      </c>
    </row>
    <row r="228" spans="2:9" x14ac:dyDescent="0.2">
      <c r="B228" s="20"/>
      <c r="I228" s="22"/>
    </row>
    <row r="229" spans="2:9" x14ac:dyDescent="0.2">
      <c r="B229" s="20"/>
      <c r="C229" s="19" t="s">
        <v>23</v>
      </c>
      <c r="H229" s="21">
        <f>'Rec.Data System-IN'!R19</f>
        <v>1588466</v>
      </c>
      <c r="I229" s="22">
        <f t="shared" ref="I229:I235" si="3">F229+H229</f>
        <v>1588466</v>
      </c>
    </row>
    <row r="230" spans="2:9" x14ac:dyDescent="0.2">
      <c r="B230" s="20"/>
      <c r="C230" s="19" t="s">
        <v>24</v>
      </c>
      <c r="H230" s="110">
        <f>'Rec.Data System-IN'!S19</f>
        <v>21310816</v>
      </c>
      <c r="I230" s="22">
        <f t="shared" si="3"/>
        <v>21310816</v>
      </c>
    </row>
    <row r="231" spans="2:9" ht="25.5" customHeight="1" x14ac:dyDescent="0.2">
      <c r="B231" s="20"/>
      <c r="C231" s="7" t="s">
        <v>81</v>
      </c>
      <c r="F231" s="21">
        <f>I190</f>
        <v>28075107</v>
      </c>
      <c r="H231" s="21">
        <f>SUM(H229:H230)</f>
        <v>22899282</v>
      </c>
      <c r="I231" s="22">
        <f t="shared" si="3"/>
        <v>50974389</v>
      </c>
    </row>
    <row r="232" spans="2:9" x14ac:dyDescent="0.2">
      <c r="B232" s="20"/>
      <c r="C232" s="19" t="s">
        <v>104</v>
      </c>
      <c r="F232" s="21">
        <f>I197</f>
        <v>-1986000</v>
      </c>
      <c r="H232" s="21">
        <f>'Rec.Data System-IN'!T19</f>
        <v>1100000</v>
      </c>
      <c r="I232" s="22">
        <f t="shared" si="3"/>
        <v>-886000</v>
      </c>
    </row>
    <row r="233" spans="2:9" x14ac:dyDescent="0.2">
      <c r="B233" s="20"/>
      <c r="C233" s="19" t="s">
        <v>34</v>
      </c>
      <c r="F233" s="21">
        <f>I202</f>
        <v>1622751</v>
      </c>
      <c r="H233" s="21">
        <f>'Rec.Data System-IN'!U19</f>
        <v>16039795</v>
      </c>
      <c r="I233" s="22">
        <f t="shared" si="3"/>
        <v>17662546</v>
      </c>
    </row>
    <row r="234" spans="2:9" x14ac:dyDescent="0.2">
      <c r="B234" s="20"/>
      <c r="C234" s="19" t="s">
        <v>105</v>
      </c>
      <c r="F234" s="21">
        <f>I207</f>
        <v>2738000</v>
      </c>
      <c r="H234" s="21">
        <f>'Rec.Data System-IN'!V19</f>
        <v>600000</v>
      </c>
      <c r="I234" s="22">
        <f t="shared" si="3"/>
        <v>3338000</v>
      </c>
    </row>
    <row r="235" spans="2:9" x14ac:dyDescent="0.2">
      <c r="B235" s="20"/>
      <c r="C235" s="19" t="s">
        <v>106</v>
      </c>
      <c r="F235" s="110">
        <f>I212</f>
        <v>15241000</v>
      </c>
      <c r="H235" s="21">
        <f>'Rec.Data System-IN'!W19</f>
        <v>2648120</v>
      </c>
      <c r="I235" s="22">
        <f t="shared" si="3"/>
        <v>17889120</v>
      </c>
    </row>
    <row r="236" spans="2:9" x14ac:dyDescent="0.2">
      <c r="B236" s="20"/>
      <c r="I236" s="22"/>
    </row>
    <row r="237" spans="2:9" ht="15.75" thickBot="1" x14ac:dyDescent="0.3">
      <c r="B237" s="20"/>
      <c r="C237" s="19" t="s">
        <v>25</v>
      </c>
      <c r="I237" s="83">
        <f>SUM(I231:I235)</f>
        <v>88978055</v>
      </c>
    </row>
    <row r="238" spans="2:9" ht="15" thickTop="1" x14ac:dyDescent="0.2">
      <c r="B238" s="20"/>
      <c r="I238" s="22"/>
    </row>
    <row r="239" spans="2:9" ht="21.75" x14ac:dyDescent="0.2">
      <c r="B239" s="111"/>
      <c r="C239" s="103" t="s">
        <v>26</v>
      </c>
      <c r="D239" s="103"/>
      <c r="E239" s="103"/>
      <c r="F239" s="103"/>
      <c r="G239" s="103"/>
      <c r="H239" s="103"/>
      <c r="I239" s="112"/>
    </row>
    <row r="240" spans="2:9" x14ac:dyDescent="0.2">
      <c r="B240" s="20"/>
      <c r="F240" s="19"/>
      <c r="H240" s="19"/>
      <c r="I240" s="22"/>
    </row>
    <row r="241" spans="2:9" ht="21.75" x14ac:dyDescent="0.2">
      <c r="B241" s="108"/>
      <c r="C241" s="102" t="s">
        <v>65</v>
      </c>
      <c r="D241" s="100"/>
      <c r="E241" s="102" t="s">
        <v>145</v>
      </c>
      <c r="F241" s="104" t="s">
        <v>114</v>
      </c>
      <c r="G241" s="101"/>
      <c r="H241" s="101"/>
      <c r="I241" s="109"/>
    </row>
    <row r="242" spans="2:9" x14ac:dyDescent="0.2">
      <c r="B242" s="80"/>
      <c r="F242" s="19" t="s">
        <v>113</v>
      </c>
      <c r="H242" s="113"/>
      <c r="I242" s="22"/>
    </row>
    <row r="243" spans="2:9" x14ac:dyDescent="0.2">
      <c r="B243" s="80"/>
      <c r="F243" s="19"/>
      <c r="H243" s="113"/>
      <c r="I243" s="22"/>
    </row>
    <row r="244" spans="2:9" x14ac:dyDescent="0.2">
      <c r="B244" s="80">
        <v>1</v>
      </c>
      <c r="C244" s="19" t="s">
        <v>375</v>
      </c>
      <c r="E244" s="19" t="s">
        <v>351</v>
      </c>
      <c r="F244" s="19" t="s">
        <v>135</v>
      </c>
      <c r="G244" s="19"/>
      <c r="H244" s="114">
        <v>2250000</v>
      </c>
      <c r="I244" s="22"/>
    </row>
    <row r="245" spans="2:9" x14ac:dyDescent="0.2">
      <c r="B245" s="80">
        <v>2</v>
      </c>
      <c r="C245" s="19" t="s">
        <v>376</v>
      </c>
      <c r="E245" s="19" t="s">
        <v>352</v>
      </c>
      <c r="F245" s="19" t="s">
        <v>135</v>
      </c>
      <c r="G245" s="19"/>
      <c r="H245" s="114">
        <v>1908572</v>
      </c>
      <c r="I245" s="22"/>
    </row>
    <row r="246" spans="2:9" x14ac:dyDescent="0.2">
      <c r="B246" s="80">
        <v>3</v>
      </c>
      <c r="C246" s="19" t="s">
        <v>377</v>
      </c>
      <c r="E246" s="19" t="s">
        <v>353</v>
      </c>
      <c r="F246" s="19" t="s">
        <v>135</v>
      </c>
      <c r="G246" s="19"/>
      <c r="H246" s="114">
        <v>570000</v>
      </c>
      <c r="I246" s="22"/>
    </row>
    <row r="247" spans="2:9" x14ac:dyDescent="0.2">
      <c r="B247" s="80">
        <v>4</v>
      </c>
      <c r="C247" s="19" t="s">
        <v>325</v>
      </c>
      <c r="E247" s="19" t="s">
        <v>354</v>
      </c>
      <c r="F247" s="19" t="s">
        <v>135</v>
      </c>
      <c r="G247" s="19"/>
      <c r="H247" s="114">
        <v>37431</v>
      </c>
      <c r="I247" s="22"/>
    </row>
    <row r="248" spans="2:9" x14ac:dyDescent="0.2">
      <c r="B248" s="80">
        <v>5</v>
      </c>
      <c r="C248" s="19" t="s">
        <v>378</v>
      </c>
      <c r="E248" s="19" t="s">
        <v>355</v>
      </c>
      <c r="F248" s="19" t="s">
        <v>135</v>
      </c>
      <c r="G248" s="19"/>
      <c r="H248" s="114">
        <v>3800000</v>
      </c>
      <c r="I248" s="22"/>
    </row>
    <row r="249" spans="2:9" x14ac:dyDescent="0.2">
      <c r="B249" s="80">
        <v>6</v>
      </c>
      <c r="C249" s="19" t="s">
        <v>380</v>
      </c>
      <c r="E249" s="19" t="s">
        <v>357</v>
      </c>
      <c r="F249" s="19" t="s">
        <v>135</v>
      </c>
      <c r="G249" s="19"/>
      <c r="H249" s="114">
        <v>200000</v>
      </c>
      <c r="I249" s="22"/>
    </row>
    <row r="250" spans="2:9" x14ac:dyDescent="0.2">
      <c r="B250" s="80">
        <v>7</v>
      </c>
      <c r="C250" s="19" t="s">
        <v>381</v>
      </c>
      <c r="E250" s="19" t="s">
        <v>358</v>
      </c>
      <c r="F250" s="19" t="s">
        <v>135</v>
      </c>
      <c r="G250" s="19"/>
      <c r="H250" s="114">
        <v>400000</v>
      </c>
      <c r="I250" s="22"/>
    </row>
    <row r="251" spans="2:9" x14ac:dyDescent="0.2">
      <c r="B251" s="80">
        <v>8</v>
      </c>
      <c r="C251" s="19" t="s">
        <v>382</v>
      </c>
      <c r="E251" s="19" t="s">
        <v>359</v>
      </c>
      <c r="F251" s="19" t="s">
        <v>135</v>
      </c>
      <c r="G251" s="19"/>
      <c r="H251" s="114">
        <v>813000</v>
      </c>
      <c r="I251" s="22"/>
    </row>
    <row r="252" spans="2:9" x14ac:dyDescent="0.2">
      <c r="B252" s="80">
        <v>9</v>
      </c>
      <c r="C252" s="19" t="s">
        <v>383</v>
      </c>
      <c r="E252" s="19" t="s">
        <v>360</v>
      </c>
      <c r="F252" s="19" t="s">
        <v>135</v>
      </c>
      <c r="G252" s="19"/>
      <c r="H252" s="114">
        <v>1449000</v>
      </c>
      <c r="I252" s="22"/>
    </row>
    <row r="253" spans="2:9" x14ac:dyDescent="0.2">
      <c r="B253" s="80">
        <v>10</v>
      </c>
      <c r="C253" s="19" t="s">
        <v>386</v>
      </c>
      <c r="E253" s="19" t="s">
        <v>363</v>
      </c>
      <c r="F253" s="19" t="s">
        <v>135</v>
      </c>
      <c r="G253" s="19"/>
      <c r="H253" s="114">
        <v>68000</v>
      </c>
      <c r="I253" s="22"/>
    </row>
    <row r="254" spans="2:9" x14ac:dyDescent="0.2">
      <c r="B254" s="80">
        <v>11</v>
      </c>
      <c r="C254" s="19" t="s">
        <v>387</v>
      </c>
      <c r="E254" s="19" t="s">
        <v>364</v>
      </c>
      <c r="F254" s="19" t="s">
        <v>135</v>
      </c>
      <c r="G254" s="19"/>
      <c r="H254" s="114">
        <v>298000</v>
      </c>
      <c r="I254" s="22"/>
    </row>
    <row r="255" spans="2:9" x14ac:dyDescent="0.2">
      <c r="B255" s="80">
        <v>12</v>
      </c>
      <c r="C255" s="19" t="s">
        <v>388</v>
      </c>
      <c r="E255" s="19" t="s">
        <v>365</v>
      </c>
      <c r="F255" s="19" t="s">
        <v>135</v>
      </c>
      <c r="G255" s="19"/>
      <c r="H255" s="114">
        <v>1700000</v>
      </c>
      <c r="I255" s="22"/>
    </row>
    <row r="256" spans="2:9" x14ac:dyDescent="0.2">
      <c r="B256" s="80">
        <v>13</v>
      </c>
      <c r="C256" s="19" t="s">
        <v>389</v>
      </c>
      <c r="E256" s="19" t="s">
        <v>366</v>
      </c>
      <c r="F256" s="19" t="s">
        <v>135</v>
      </c>
      <c r="G256" s="19"/>
      <c r="H256" s="114">
        <v>380000</v>
      </c>
      <c r="I256" s="22"/>
    </row>
    <row r="257" spans="2:15" x14ac:dyDescent="0.2">
      <c r="B257" s="80">
        <v>14</v>
      </c>
      <c r="C257" s="19" t="s">
        <v>390</v>
      </c>
      <c r="E257" s="19" t="s">
        <v>367</v>
      </c>
      <c r="F257" s="19" t="s">
        <v>135</v>
      </c>
      <c r="G257" s="19"/>
      <c r="H257" s="114">
        <v>5555600</v>
      </c>
      <c r="I257" s="22"/>
    </row>
    <row r="258" spans="2:15" x14ac:dyDescent="0.2">
      <c r="B258" s="80">
        <v>15</v>
      </c>
      <c r="C258" s="19" t="s">
        <v>392</v>
      </c>
      <c r="E258" s="19" t="s">
        <v>369</v>
      </c>
      <c r="F258" s="19" t="s">
        <v>135</v>
      </c>
      <c r="G258" s="19"/>
      <c r="H258" s="114">
        <v>1750000</v>
      </c>
      <c r="I258" s="22"/>
    </row>
    <row r="259" spans="2:15" x14ac:dyDescent="0.2">
      <c r="B259" s="80">
        <v>16</v>
      </c>
      <c r="C259" s="19" t="s">
        <v>394</v>
      </c>
      <c r="E259" s="19" t="s">
        <v>371</v>
      </c>
      <c r="F259" s="19" t="s">
        <v>135</v>
      </c>
      <c r="G259" s="19"/>
      <c r="H259" s="114">
        <v>1600000</v>
      </c>
      <c r="I259" s="22"/>
    </row>
    <row r="260" spans="2:15" x14ac:dyDescent="0.2">
      <c r="B260" s="80">
        <v>17</v>
      </c>
      <c r="C260" s="19" t="s">
        <v>395</v>
      </c>
      <c r="E260" s="19" t="s">
        <v>372</v>
      </c>
      <c r="F260" s="19" t="s">
        <v>135</v>
      </c>
      <c r="G260" s="19"/>
      <c r="H260" s="114">
        <v>14000000</v>
      </c>
      <c r="I260" s="22"/>
    </row>
    <row r="261" spans="2:15" x14ac:dyDescent="0.2">
      <c r="B261" s="80">
        <v>18</v>
      </c>
      <c r="C261" s="19" t="s">
        <v>396</v>
      </c>
      <c r="E261" s="19" t="s">
        <v>373</v>
      </c>
      <c r="F261" s="19" t="s">
        <v>135</v>
      </c>
      <c r="G261" s="19"/>
      <c r="H261" s="114">
        <v>5200000</v>
      </c>
      <c r="I261" s="22"/>
      <c r="N261" s="21"/>
      <c r="O261" s="21"/>
    </row>
    <row r="262" spans="2:15" ht="16.5" x14ac:dyDescent="0.35">
      <c r="B262" s="80">
        <v>19</v>
      </c>
      <c r="C262" s="19" t="s">
        <v>397</v>
      </c>
      <c r="E262" s="19" t="s">
        <v>374</v>
      </c>
      <c r="F262" s="19" t="s">
        <v>135</v>
      </c>
      <c r="G262" s="19"/>
      <c r="H262" s="115">
        <v>172000</v>
      </c>
      <c r="I262" s="22"/>
      <c r="N262" s="21"/>
      <c r="O262" s="21"/>
    </row>
    <row r="263" spans="2:15" x14ac:dyDescent="0.2">
      <c r="B263" s="80"/>
      <c r="C263" s="116" t="s">
        <v>139</v>
      </c>
      <c r="F263" s="19"/>
      <c r="G263" s="19"/>
      <c r="H263" s="114">
        <f>SUM(H244:H262)</f>
        <v>42151603</v>
      </c>
      <c r="I263" s="22">
        <f>I231-H263</f>
        <v>8822786</v>
      </c>
      <c r="N263" s="21"/>
      <c r="O263" s="21"/>
    </row>
    <row r="264" spans="2:15" x14ac:dyDescent="0.2">
      <c r="B264" s="80">
        <v>1</v>
      </c>
      <c r="C264" s="19" t="s">
        <v>379</v>
      </c>
      <c r="E264" s="19" t="s">
        <v>356</v>
      </c>
      <c r="F264" s="19" t="s">
        <v>104</v>
      </c>
      <c r="G264" s="19"/>
      <c r="H264" s="114">
        <v>195000</v>
      </c>
      <c r="I264" s="22"/>
      <c r="N264" s="21"/>
      <c r="O264" s="21"/>
    </row>
    <row r="265" spans="2:15" x14ac:dyDescent="0.2">
      <c r="B265" s="80">
        <v>2</v>
      </c>
      <c r="F265" s="19" t="s">
        <v>104</v>
      </c>
      <c r="G265" s="19"/>
      <c r="H265" s="114">
        <v>0</v>
      </c>
      <c r="I265" s="22"/>
      <c r="N265" s="21"/>
      <c r="O265" s="21"/>
    </row>
    <row r="266" spans="2:15" x14ac:dyDescent="0.2">
      <c r="B266" s="80">
        <v>3</v>
      </c>
      <c r="F266" s="19" t="s">
        <v>104</v>
      </c>
      <c r="G266" s="19"/>
      <c r="H266" s="114">
        <v>0</v>
      </c>
      <c r="I266" s="22"/>
      <c r="N266" s="21"/>
      <c r="O266" s="21"/>
    </row>
    <row r="267" spans="2:15" ht="16.5" x14ac:dyDescent="0.35">
      <c r="B267" s="80">
        <v>4</v>
      </c>
      <c r="F267" s="19" t="s">
        <v>104</v>
      </c>
      <c r="G267" s="19"/>
      <c r="H267" s="115">
        <v>0</v>
      </c>
      <c r="I267" s="22"/>
      <c r="N267" s="21"/>
      <c r="O267" s="21"/>
    </row>
    <row r="268" spans="2:15" x14ac:dyDescent="0.2">
      <c r="B268" s="80"/>
      <c r="C268" s="116" t="s">
        <v>140</v>
      </c>
      <c r="F268" s="19"/>
      <c r="G268" s="19"/>
      <c r="H268" s="114">
        <f>SUM(H264:H267)</f>
        <v>195000</v>
      </c>
      <c r="I268" s="22">
        <f>I232-H268</f>
        <v>-1081000</v>
      </c>
      <c r="N268" s="21"/>
      <c r="O268" s="21"/>
    </row>
    <row r="269" spans="2:15" x14ac:dyDescent="0.2">
      <c r="B269" s="80">
        <v>1</v>
      </c>
      <c r="C269" s="19" t="s">
        <v>393</v>
      </c>
      <c r="E269" s="19" t="s">
        <v>370</v>
      </c>
      <c r="F269" s="19" t="s">
        <v>34</v>
      </c>
      <c r="G269" s="19"/>
      <c r="H269" s="114">
        <v>10000000</v>
      </c>
      <c r="I269" s="22"/>
      <c r="N269" s="21"/>
      <c r="O269" s="21"/>
    </row>
    <row r="270" spans="2:15" x14ac:dyDescent="0.2">
      <c r="B270" s="80">
        <v>2</v>
      </c>
      <c r="F270" s="19" t="s">
        <v>34</v>
      </c>
      <c r="G270" s="19"/>
      <c r="H270" s="114">
        <v>0</v>
      </c>
      <c r="I270" s="22"/>
      <c r="N270" s="21"/>
      <c r="O270" s="21"/>
    </row>
    <row r="271" spans="2:15" x14ac:dyDescent="0.2">
      <c r="B271" s="80">
        <v>3</v>
      </c>
      <c r="F271" s="19" t="s">
        <v>34</v>
      </c>
      <c r="G271" s="19"/>
      <c r="H271" s="114">
        <v>0</v>
      </c>
      <c r="I271" s="22"/>
      <c r="N271" s="21"/>
      <c r="O271" s="21"/>
    </row>
    <row r="272" spans="2:15" ht="16.5" x14ac:dyDescent="0.35">
      <c r="B272" s="80">
        <v>4</v>
      </c>
      <c r="F272" s="19" t="s">
        <v>34</v>
      </c>
      <c r="G272" s="19"/>
      <c r="H272" s="115">
        <v>0</v>
      </c>
      <c r="I272" s="22"/>
      <c r="N272" s="21"/>
      <c r="O272" s="21"/>
    </row>
    <row r="273" spans="2:15" x14ac:dyDescent="0.2">
      <c r="B273" s="80"/>
      <c r="C273" s="116" t="s">
        <v>141</v>
      </c>
      <c r="F273" s="19"/>
      <c r="G273" s="19"/>
      <c r="H273" s="114">
        <f>SUM(H269:H272)</f>
        <v>10000000</v>
      </c>
      <c r="I273" s="22">
        <f>I233-H273</f>
        <v>7662546</v>
      </c>
      <c r="N273" s="21"/>
      <c r="O273" s="21"/>
    </row>
    <row r="274" spans="2:15" x14ac:dyDescent="0.2">
      <c r="B274" s="80">
        <v>1</v>
      </c>
      <c r="F274" s="19" t="s">
        <v>105</v>
      </c>
      <c r="G274" s="19"/>
      <c r="H274" s="114">
        <v>0</v>
      </c>
      <c r="I274" s="22"/>
      <c r="N274" s="21"/>
      <c r="O274" s="21"/>
    </row>
    <row r="275" spans="2:15" x14ac:dyDescent="0.2">
      <c r="B275" s="80">
        <v>2</v>
      </c>
      <c r="F275" s="19" t="s">
        <v>105</v>
      </c>
      <c r="G275" s="19"/>
      <c r="H275" s="114">
        <v>0</v>
      </c>
      <c r="I275" s="22"/>
      <c r="N275" s="21"/>
      <c r="O275" s="21"/>
    </row>
    <row r="276" spans="2:15" x14ac:dyDescent="0.2">
      <c r="B276" s="80">
        <v>3</v>
      </c>
      <c r="F276" s="19" t="s">
        <v>105</v>
      </c>
      <c r="G276" s="19"/>
      <c r="H276" s="114">
        <v>0</v>
      </c>
      <c r="I276" s="22"/>
      <c r="N276" s="21"/>
      <c r="O276" s="21"/>
    </row>
    <row r="277" spans="2:15" ht="16.5" x14ac:dyDescent="0.35">
      <c r="B277" s="80">
        <v>4</v>
      </c>
      <c r="F277" s="19" t="s">
        <v>105</v>
      </c>
      <c r="G277" s="19"/>
      <c r="H277" s="115">
        <v>0</v>
      </c>
      <c r="I277" s="22"/>
      <c r="N277" s="21"/>
      <c r="O277" s="21"/>
    </row>
    <row r="278" spans="2:15" x14ac:dyDescent="0.2">
      <c r="B278" s="80"/>
      <c r="C278" s="116" t="s">
        <v>142</v>
      </c>
      <c r="F278" s="19"/>
      <c r="G278" s="19"/>
      <c r="H278" s="114">
        <f>SUM(H274:H277)</f>
        <v>0</v>
      </c>
      <c r="I278" s="22">
        <f>I234-H278</f>
        <v>3338000</v>
      </c>
      <c r="N278" s="21"/>
      <c r="O278" s="21"/>
    </row>
    <row r="279" spans="2:15" x14ac:dyDescent="0.2">
      <c r="B279" s="80">
        <v>1</v>
      </c>
      <c r="C279" s="19" t="s">
        <v>384</v>
      </c>
      <c r="E279" s="19" t="s">
        <v>361</v>
      </c>
      <c r="F279" s="19" t="s">
        <v>143</v>
      </c>
      <c r="G279" s="19"/>
      <c r="H279" s="114">
        <v>150000</v>
      </c>
      <c r="I279" s="22"/>
      <c r="N279" s="21"/>
      <c r="O279" s="21"/>
    </row>
    <row r="280" spans="2:15" x14ac:dyDescent="0.2">
      <c r="B280" s="80">
        <v>2</v>
      </c>
      <c r="C280" s="19" t="s">
        <v>385</v>
      </c>
      <c r="E280" s="19" t="s">
        <v>362</v>
      </c>
      <c r="F280" s="19" t="s">
        <v>143</v>
      </c>
      <c r="G280" s="19"/>
      <c r="H280" s="114">
        <v>750000</v>
      </c>
      <c r="I280" s="22"/>
      <c r="N280" s="21"/>
      <c r="O280" s="21"/>
    </row>
    <row r="281" spans="2:15" x14ac:dyDescent="0.2">
      <c r="B281" s="80">
        <v>3</v>
      </c>
      <c r="C281" s="19" t="s">
        <v>391</v>
      </c>
      <c r="E281" s="19" t="s">
        <v>368</v>
      </c>
      <c r="F281" s="19" t="s">
        <v>143</v>
      </c>
      <c r="G281" s="19"/>
      <c r="H281" s="114">
        <v>90400</v>
      </c>
      <c r="I281" s="22"/>
      <c r="N281" s="21"/>
      <c r="O281" s="21"/>
    </row>
    <row r="282" spans="2:15" ht="16.5" x14ac:dyDescent="0.35">
      <c r="B282" s="80">
        <v>4</v>
      </c>
      <c r="F282" s="19" t="s">
        <v>143</v>
      </c>
      <c r="G282" s="19"/>
      <c r="H282" s="115">
        <v>0</v>
      </c>
      <c r="I282" s="22"/>
      <c r="N282" s="21"/>
      <c r="O282" s="21"/>
    </row>
    <row r="283" spans="2:15" x14ac:dyDescent="0.2">
      <c r="B283" s="80"/>
      <c r="C283" s="116" t="s">
        <v>144</v>
      </c>
      <c r="F283" s="19"/>
      <c r="G283" s="19"/>
      <c r="H283" s="114">
        <f>SUM(H279:H282)</f>
        <v>990400</v>
      </c>
      <c r="I283" s="22">
        <f>I235-H283</f>
        <v>16898720</v>
      </c>
      <c r="N283" s="21"/>
      <c r="O283" s="21"/>
    </row>
    <row r="284" spans="2:15" x14ac:dyDescent="0.2">
      <c r="B284" s="20"/>
      <c r="I284" s="22"/>
    </row>
    <row r="285" spans="2:15" ht="15" thickBot="1" x14ac:dyDescent="0.25">
      <c r="B285" s="20"/>
      <c r="C285" s="19" t="s">
        <v>27</v>
      </c>
      <c r="H285" s="117">
        <f>H263+H268+H273+H278+H283</f>
        <v>53337003</v>
      </c>
      <c r="I285" s="81"/>
    </row>
    <row r="286" spans="2:15" x14ac:dyDescent="0.2">
      <c r="B286" s="20"/>
      <c r="I286" s="22"/>
    </row>
    <row r="287" spans="2:15" ht="15" x14ac:dyDescent="0.25">
      <c r="B287" s="20"/>
      <c r="C287" s="19" t="s">
        <v>28</v>
      </c>
      <c r="H287" s="19"/>
      <c r="I287" s="82">
        <f>I237-H285</f>
        <v>35641052</v>
      </c>
    </row>
    <row r="288" spans="2:15" x14ac:dyDescent="0.2">
      <c r="B288" s="24"/>
      <c r="C288" s="25"/>
      <c r="D288" s="25"/>
      <c r="E288" s="25"/>
      <c r="F288" s="23"/>
      <c r="G288" s="23"/>
      <c r="H288" s="23"/>
      <c r="I288" s="37"/>
    </row>
    <row r="292" spans="2:9" ht="28.9" customHeight="1" thickBot="1" x14ac:dyDescent="0.25">
      <c r="B292" s="192" t="str">
        <f>B16</f>
        <v>KIWI</v>
      </c>
      <c r="C292" s="193"/>
      <c r="D292" s="193"/>
      <c r="E292" s="193"/>
      <c r="F292" s="193"/>
      <c r="G292" s="193"/>
      <c r="H292" s="193"/>
      <c r="I292" s="193"/>
    </row>
    <row r="293" spans="2:9" ht="21.75" x14ac:dyDescent="0.2">
      <c r="B293" s="194" t="s">
        <v>21</v>
      </c>
      <c r="C293" s="194"/>
      <c r="D293" s="194"/>
      <c r="E293" s="194"/>
      <c r="F293" s="194"/>
      <c r="G293" s="194"/>
      <c r="H293" s="194"/>
      <c r="I293" s="195"/>
    </row>
    <row r="294" spans="2:9" ht="21.75" x14ac:dyDescent="0.2">
      <c r="B294" s="186" t="s">
        <v>186</v>
      </c>
      <c r="C294" s="186"/>
      <c r="D294" s="186"/>
      <c r="E294" s="186"/>
      <c r="F294" s="186"/>
      <c r="G294" s="186"/>
      <c r="H294" s="186"/>
      <c r="I294" s="196"/>
    </row>
    <row r="296" spans="2:9" ht="21.75" x14ac:dyDescent="0.2">
      <c r="B296" s="105"/>
      <c r="C296" s="106" t="s">
        <v>22</v>
      </c>
      <c r="D296" s="106"/>
      <c r="E296" s="106"/>
      <c r="F296" s="106"/>
      <c r="G296" s="106"/>
      <c r="H296" s="106"/>
      <c r="I296" s="107"/>
    </row>
    <row r="297" spans="2:9" x14ac:dyDescent="0.2">
      <c r="B297" s="20"/>
      <c r="I297" s="22"/>
    </row>
    <row r="298" spans="2:9" ht="21.75" x14ac:dyDescent="0.2">
      <c r="B298" s="108"/>
      <c r="C298" s="102" t="s">
        <v>63</v>
      </c>
      <c r="D298" s="100"/>
      <c r="E298" s="100"/>
      <c r="F298" s="101" t="s">
        <v>115</v>
      </c>
      <c r="G298" s="101"/>
      <c r="H298" s="101" t="s">
        <v>116</v>
      </c>
      <c r="I298" s="109" t="s">
        <v>17</v>
      </c>
    </row>
    <row r="299" spans="2:9" x14ac:dyDescent="0.2">
      <c r="B299" s="20"/>
      <c r="I299" s="22"/>
    </row>
    <row r="300" spans="2:9" x14ac:dyDescent="0.2">
      <c r="B300" s="20"/>
      <c r="C300" s="19" t="s">
        <v>23</v>
      </c>
      <c r="H300" s="21">
        <f>'Rec.Data System-IN'!R20</f>
        <v>1996679</v>
      </c>
      <c r="I300" s="22">
        <f t="shared" ref="I300:I306" si="4">F300+H300</f>
        <v>1996679</v>
      </c>
    </row>
    <row r="301" spans="2:9" x14ac:dyDescent="0.2">
      <c r="B301" s="20"/>
      <c r="C301" s="19" t="s">
        <v>24</v>
      </c>
      <c r="H301" s="110">
        <f>'Rec.Data System-IN'!S20</f>
        <v>10217270</v>
      </c>
      <c r="I301" s="22">
        <f t="shared" si="4"/>
        <v>10217270</v>
      </c>
    </row>
    <row r="302" spans="2:9" ht="25.5" customHeight="1" x14ac:dyDescent="0.2">
      <c r="B302" s="20"/>
      <c r="C302" s="7" t="s">
        <v>81</v>
      </c>
      <c r="F302" s="21">
        <f>I263</f>
        <v>8822786</v>
      </c>
      <c r="H302" s="21">
        <f>SUM(H300:H301)</f>
        <v>12213949</v>
      </c>
      <c r="I302" s="22">
        <f t="shared" si="4"/>
        <v>21036735</v>
      </c>
    </row>
    <row r="303" spans="2:9" x14ac:dyDescent="0.2">
      <c r="B303" s="20"/>
      <c r="C303" s="19" t="s">
        <v>104</v>
      </c>
      <c r="F303" s="21">
        <f>I268</f>
        <v>-1081000</v>
      </c>
      <c r="H303" s="21">
        <f>'Rec.Data System-IN'!T20</f>
        <v>3900000</v>
      </c>
      <c r="I303" s="22">
        <f t="shared" si="4"/>
        <v>2819000</v>
      </c>
    </row>
    <row r="304" spans="2:9" x14ac:dyDescent="0.2">
      <c r="B304" s="20"/>
      <c r="C304" s="19" t="s">
        <v>34</v>
      </c>
      <c r="F304" s="21">
        <f>I273</f>
        <v>7662546</v>
      </c>
      <c r="H304" s="21">
        <f>'Rec.Data System-IN'!U20</f>
        <v>32466000</v>
      </c>
      <c r="I304" s="22">
        <f t="shared" si="4"/>
        <v>40128546</v>
      </c>
    </row>
    <row r="305" spans="2:9" x14ac:dyDescent="0.2">
      <c r="B305" s="20"/>
      <c r="C305" s="19" t="s">
        <v>105</v>
      </c>
      <c r="F305" s="21">
        <f>I278</f>
        <v>3338000</v>
      </c>
      <c r="H305" s="21">
        <f>'Rec.Data System-IN'!V20</f>
        <v>350000</v>
      </c>
      <c r="I305" s="22">
        <f t="shared" si="4"/>
        <v>3688000</v>
      </c>
    </row>
    <row r="306" spans="2:9" x14ac:dyDescent="0.2">
      <c r="B306" s="20"/>
      <c r="C306" s="19" t="s">
        <v>106</v>
      </c>
      <c r="F306" s="110">
        <f>I283</f>
        <v>16898720</v>
      </c>
      <c r="H306" s="21">
        <f>'Rec.Data System-IN'!W20</f>
        <v>5729000</v>
      </c>
      <c r="I306" s="22">
        <f t="shared" si="4"/>
        <v>22627720</v>
      </c>
    </row>
    <row r="307" spans="2:9" x14ac:dyDescent="0.2">
      <c r="B307" s="20"/>
      <c r="I307" s="22"/>
    </row>
    <row r="308" spans="2:9" ht="15.75" thickBot="1" x14ac:dyDescent="0.3">
      <c r="B308" s="20"/>
      <c r="C308" s="19" t="s">
        <v>25</v>
      </c>
      <c r="I308" s="83">
        <f>SUM(I302:I306)</f>
        <v>90300001</v>
      </c>
    </row>
    <row r="309" spans="2:9" ht="15" thickTop="1" x14ac:dyDescent="0.2">
      <c r="B309" s="20"/>
      <c r="I309" s="22"/>
    </row>
    <row r="310" spans="2:9" ht="21.75" x14ac:dyDescent="0.2">
      <c r="B310" s="111"/>
      <c r="C310" s="103" t="s">
        <v>26</v>
      </c>
      <c r="D310" s="103"/>
      <c r="E310" s="103"/>
      <c r="F310" s="103"/>
      <c r="G310" s="103"/>
      <c r="H310" s="103"/>
      <c r="I310" s="112"/>
    </row>
    <row r="311" spans="2:9" x14ac:dyDescent="0.2">
      <c r="B311" s="20"/>
      <c r="F311" s="19"/>
      <c r="H311" s="19"/>
      <c r="I311" s="22"/>
    </row>
    <row r="312" spans="2:9" ht="21.75" x14ac:dyDescent="0.2">
      <c r="B312" s="108"/>
      <c r="C312" s="102" t="s">
        <v>65</v>
      </c>
      <c r="D312" s="100"/>
      <c r="E312" s="102" t="s">
        <v>145</v>
      </c>
      <c r="F312" s="104" t="s">
        <v>114</v>
      </c>
      <c r="G312" s="101"/>
      <c r="H312" s="101"/>
      <c r="I312" s="109"/>
    </row>
    <row r="313" spans="2:9" x14ac:dyDescent="0.2">
      <c r="B313" s="80"/>
      <c r="F313" s="19" t="s">
        <v>113</v>
      </c>
      <c r="H313" s="113"/>
      <c r="I313" s="22"/>
    </row>
    <row r="314" spans="2:9" x14ac:dyDescent="0.2">
      <c r="B314" s="80"/>
      <c r="F314" s="19"/>
      <c r="H314" s="113"/>
      <c r="I314" s="22"/>
    </row>
    <row r="315" spans="2:9" x14ac:dyDescent="0.2">
      <c r="B315" s="80">
        <v>1</v>
      </c>
      <c r="C315" s="19" t="s">
        <v>419</v>
      </c>
      <c r="E315" s="19" t="s">
        <v>401</v>
      </c>
      <c r="F315" s="19" t="s">
        <v>135</v>
      </c>
      <c r="G315" s="19"/>
      <c r="H315" s="114">
        <v>500000</v>
      </c>
      <c r="I315" s="22"/>
    </row>
    <row r="316" spans="2:9" x14ac:dyDescent="0.2">
      <c r="B316" s="80">
        <v>2</v>
      </c>
      <c r="C316" s="19" t="s">
        <v>420</v>
      </c>
      <c r="E316" s="19" t="s">
        <v>402</v>
      </c>
      <c r="F316" s="19" t="s">
        <v>135</v>
      </c>
      <c r="G316" s="19"/>
      <c r="H316" s="114">
        <v>55114</v>
      </c>
      <c r="I316" s="22"/>
    </row>
    <row r="317" spans="2:9" x14ac:dyDescent="0.2">
      <c r="B317" s="80">
        <v>3</v>
      </c>
      <c r="C317" s="19" t="s">
        <v>421</v>
      </c>
      <c r="E317" s="19" t="s">
        <v>403</v>
      </c>
      <c r="F317" s="19" t="s">
        <v>135</v>
      </c>
      <c r="G317" s="19"/>
      <c r="H317" s="114">
        <v>2500000</v>
      </c>
      <c r="I317" s="22"/>
    </row>
    <row r="318" spans="2:9" x14ac:dyDescent="0.2">
      <c r="B318" s="80">
        <v>4</v>
      </c>
      <c r="C318" s="19" t="s">
        <v>422</v>
      </c>
      <c r="E318" s="19" t="s">
        <v>404</v>
      </c>
      <c r="F318" s="19" t="s">
        <v>135</v>
      </c>
      <c r="G318" s="19"/>
      <c r="H318" s="114">
        <v>584000</v>
      </c>
      <c r="I318" s="22"/>
    </row>
    <row r="319" spans="2:9" x14ac:dyDescent="0.2">
      <c r="B319" s="80">
        <v>5</v>
      </c>
      <c r="C319" s="19" t="s">
        <v>423</v>
      </c>
      <c r="E319" s="19" t="s">
        <v>405</v>
      </c>
      <c r="F319" s="19" t="s">
        <v>135</v>
      </c>
      <c r="G319" s="19"/>
      <c r="H319" s="114">
        <v>4500000</v>
      </c>
      <c r="I319" s="22"/>
    </row>
    <row r="320" spans="2:9" x14ac:dyDescent="0.2">
      <c r="B320" s="80">
        <v>6</v>
      </c>
      <c r="C320" s="19" t="s">
        <v>426</v>
      </c>
      <c r="E320" s="19" t="s">
        <v>408</v>
      </c>
      <c r="F320" s="19" t="s">
        <v>135</v>
      </c>
      <c r="G320" s="19"/>
      <c r="H320" s="114">
        <v>500000</v>
      </c>
      <c r="I320" s="22"/>
    </row>
    <row r="321" spans="2:15" x14ac:dyDescent="0.2">
      <c r="B321" s="80">
        <v>7</v>
      </c>
      <c r="C321" s="19" t="s">
        <v>427</v>
      </c>
      <c r="E321" s="19" t="s">
        <v>409</v>
      </c>
      <c r="F321" s="19" t="s">
        <v>135</v>
      </c>
      <c r="G321" s="19"/>
      <c r="H321" s="114">
        <v>780000</v>
      </c>
      <c r="I321" s="22"/>
    </row>
    <row r="322" spans="2:15" x14ac:dyDescent="0.2">
      <c r="B322" s="80">
        <v>8</v>
      </c>
      <c r="C322" s="19" t="s">
        <v>428</v>
      </c>
      <c r="E322" s="19" t="s">
        <v>410</v>
      </c>
      <c r="F322" s="19" t="s">
        <v>135</v>
      </c>
      <c r="G322" s="19"/>
      <c r="H322" s="114">
        <v>1716292</v>
      </c>
      <c r="I322" s="22"/>
    </row>
    <row r="323" spans="2:15" x14ac:dyDescent="0.2">
      <c r="B323" s="80">
        <v>9</v>
      </c>
      <c r="C323" s="19" t="s">
        <v>429</v>
      </c>
      <c r="E323" s="19" t="s">
        <v>411</v>
      </c>
      <c r="F323" s="19" t="s">
        <v>135</v>
      </c>
      <c r="G323" s="19"/>
      <c r="H323" s="114">
        <v>116000</v>
      </c>
      <c r="I323" s="22"/>
    </row>
    <row r="324" spans="2:15" x14ac:dyDescent="0.2">
      <c r="B324" s="80">
        <v>10</v>
      </c>
      <c r="C324" s="19" t="s">
        <v>430</v>
      </c>
      <c r="E324" s="19" t="s">
        <v>412</v>
      </c>
      <c r="F324" s="19" t="s">
        <v>135</v>
      </c>
      <c r="G324" s="19"/>
      <c r="H324" s="114">
        <v>979000</v>
      </c>
      <c r="I324" s="22"/>
    </row>
    <row r="325" spans="2:15" x14ac:dyDescent="0.2">
      <c r="B325" s="80">
        <v>11</v>
      </c>
      <c r="C325" s="19" t="s">
        <v>431</v>
      </c>
      <c r="E325" s="19" t="s">
        <v>413</v>
      </c>
      <c r="F325" s="19" t="s">
        <v>135</v>
      </c>
      <c r="G325" s="19"/>
      <c r="H325" s="114">
        <v>500000</v>
      </c>
      <c r="I325" s="22"/>
    </row>
    <row r="326" spans="2:15" x14ac:dyDescent="0.2">
      <c r="B326" s="80">
        <v>12</v>
      </c>
      <c r="C326" s="19" t="s">
        <v>432</v>
      </c>
      <c r="E326" s="19" t="s">
        <v>414</v>
      </c>
      <c r="F326" s="19" t="s">
        <v>135</v>
      </c>
      <c r="G326" s="19"/>
      <c r="H326" s="114">
        <v>190000</v>
      </c>
      <c r="I326" s="22"/>
      <c r="N326" s="21"/>
      <c r="O326" s="21"/>
    </row>
    <row r="327" spans="2:15" ht="16.5" x14ac:dyDescent="0.35">
      <c r="B327" s="80">
        <v>13</v>
      </c>
      <c r="C327" s="19" t="s">
        <v>340</v>
      </c>
      <c r="E327" s="19" t="s">
        <v>416</v>
      </c>
      <c r="F327" s="19" t="s">
        <v>135</v>
      </c>
      <c r="G327" s="19"/>
      <c r="H327" s="115">
        <v>300000</v>
      </c>
      <c r="I327" s="22"/>
      <c r="N327" s="21"/>
      <c r="O327" s="21"/>
    </row>
    <row r="328" spans="2:15" x14ac:dyDescent="0.2">
      <c r="B328" s="80"/>
      <c r="C328" s="116" t="s">
        <v>139</v>
      </c>
      <c r="F328" s="19"/>
      <c r="G328" s="19"/>
      <c r="H328" s="114">
        <f>SUM(H315:H327)</f>
        <v>13220406</v>
      </c>
      <c r="I328" s="22">
        <f>I302-H328</f>
        <v>7816329</v>
      </c>
      <c r="N328" s="21"/>
      <c r="O328" s="21"/>
    </row>
    <row r="329" spans="2:15" x14ac:dyDescent="0.2">
      <c r="B329" s="80">
        <v>1</v>
      </c>
      <c r="C329" s="19" t="s">
        <v>425</v>
      </c>
      <c r="E329" s="19" t="s">
        <v>407</v>
      </c>
      <c r="F329" s="19" t="s">
        <v>104</v>
      </c>
      <c r="G329" s="19"/>
      <c r="H329" s="114">
        <v>1000000</v>
      </c>
      <c r="I329" s="22"/>
      <c r="N329" s="21"/>
      <c r="O329" s="21"/>
    </row>
    <row r="330" spans="2:15" x14ac:dyDescent="0.2">
      <c r="B330" s="80">
        <v>2</v>
      </c>
      <c r="F330" s="19" t="s">
        <v>104</v>
      </c>
      <c r="G330" s="19"/>
      <c r="H330" s="114">
        <v>0</v>
      </c>
      <c r="I330" s="22"/>
      <c r="N330" s="21"/>
      <c r="O330" s="21"/>
    </row>
    <row r="331" spans="2:15" x14ac:dyDescent="0.2">
      <c r="B331" s="80">
        <v>3</v>
      </c>
      <c r="F331" s="19" t="s">
        <v>104</v>
      </c>
      <c r="G331" s="19"/>
      <c r="H331" s="114">
        <v>0</v>
      </c>
      <c r="I331" s="22"/>
      <c r="N331" s="21"/>
      <c r="O331" s="21"/>
    </row>
    <row r="332" spans="2:15" ht="16.5" x14ac:dyDescent="0.35">
      <c r="B332" s="80">
        <v>4</v>
      </c>
      <c r="F332" s="19" t="s">
        <v>104</v>
      </c>
      <c r="G332" s="19"/>
      <c r="H332" s="115">
        <v>0</v>
      </c>
      <c r="I332" s="22"/>
      <c r="N332" s="21"/>
      <c r="O332" s="21"/>
    </row>
    <row r="333" spans="2:15" x14ac:dyDescent="0.2">
      <c r="B333" s="80"/>
      <c r="C333" s="116" t="s">
        <v>140</v>
      </c>
      <c r="F333" s="19"/>
      <c r="G333" s="19"/>
      <c r="H333" s="114">
        <f>SUM(H329:H332)</f>
        <v>1000000</v>
      </c>
      <c r="I333" s="22">
        <f>I303-H333</f>
        <v>1819000</v>
      </c>
      <c r="N333" s="21"/>
      <c r="O333" s="21"/>
    </row>
    <row r="334" spans="2:15" x14ac:dyDescent="0.2">
      <c r="B334" s="80">
        <v>1</v>
      </c>
      <c r="C334" s="19" t="s">
        <v>434</v>
      </c>
      <c r="E334" s="19" t="s">
        <v>417</v>
      </c>
      <c r="F334" s="19" t="s">
        <v>34</v>
      </c>
      <c r="G334" s="19"/>
      <c r="H334" s="114">
        <v>32820500</v>
      </c>
      <c r="I334" s="22"/>
      <c r="N334" s="21"/>
      <c r="O334" s="21"/>
    </row>
    <row r="335" spans="2:15" x14ac:dyDescent="0.2">
      <c r="B335" s="80">
        <v>2</v>
      </c>
      <c r="F335" s="19" t="s">
        <v>34</v>
      </c>
      <c r="G335" s="19"/>
      <c r="H335" s="114">
        <v>0</v>
      </c>
      <c r="I335" s="22"/>
      <c r="N335" s="21"/>
      <c r="O335" s="21"/>
    </row>
    <row r="336" spans="2:15" x14ac:dyDescent="0.2">
      <c r="B336" s="80">
        <v>3</v>
      </c>
      <c r="F336" s="19" t="s">
        <v>34</v>
      </c>
      <c r="G336" s="19"/>
      <c r="H336" s="114">
        <v>0</v>
      </c>
      <c r="I336" s="22"/>
      <c r="N336" s="21"/>
      <c r="O336" s="21"/>
    </row>
    <row r="337" spans="2:15" ht="16.5" x14ac:dyDescent="0.35">
      <c r="B337" s="80">
        <v>4</v>
      </c>
      <c r="F337" s="19" t="s">
        <v>34</v>
      </c>
      <c r="G337" s="19"/>
      <c r="H337" s="115">
        <v>0</v>
      </c>
      <c r="I337" s="22"/>
      <c r="N337" s="21"/>
      <c r="O337" s="21"/>
    </row>
    <row r="338" spans="2:15" x14ac:dyDescent="0.2">
      <c r="B338" s="80"/>
      <c r="C338" s="116" t="s">
        <v>141</v>
      </c>
      <c r="F338" s="19"/>
      <c r="G338" s="19"/>
      <c r="H338" s="114">
        <f>SUM(H334:H337)</f>
        <v>32820500</v>
      </c>
      <c r="I338" s="22">
        <f>I304-H338</f>
        <v>7308046</v>
      </c>
      <c r="N338" s="21"/>
      <c r="O338" s="21"/>
    </row>
    <row r="339" spans="2:15" x14ac:dyDescent="0.2">
      <c r="B339" s="80">
        <v>1</v>
      </c>
      <c r="F339" s="19" t="s">
        <v>105</v>
      </c>
      <c r="G339" s="19"/>
      <c r="H339" s="114">
        <v>0</v>
      </c>
      <c r="I339" s="22"/>
      <c r="N339" s="21"/>
      <c r="O339" s="21"/>
    </row>
    <row r="340" spans="2:15" x14ac:dyDescent="0.2">
      <c r="B340" s="80">
        <v>2</v>
      </c>
      <c r="F340" s="19" t="s">
        <v>105</v>
      </c>
      <c r="G340" s="19"/>
      <c r="H340" s="114">
        <v>0</v>
      </c>
      <c r="I340" s="22"/>
      <c r="N340" s="21"/>
      <c r="O340" s="21"/>
    </row>
    <row r="341" spans="2:15" x14ac:dyDescent="0.2">
      <c r="B341" s="80">
        <v>3</v>
      </c>
      <c r="F341" s="19" t="s">
        <v>105</v>
      </c>
      <c r="G341" s="19"/>
      <c r="H341" s="114">
        <v>0</v>
      </c>
      <c r="I341" s="22"/>
      <c r="N341" s="21"/>
      <c r="O341" s="21"/>
    </row>
    <row r="342" spans="2:15" ht="16.5" x14ac:dyDescent="0.35">
      <c r="B342" s="80">
        <v>4</v>
      </c>
      <c r="F342" s="19" t="s">
        <v>105</v>
      </c>
      <c r="G342" s="19"/>
      <c r="H342" s="115">
        <v>0</v>
      </c>
      <c r="I342" s="22"/>
      <c r="N342" s="21"/>
      <c r="O342" s="21"/>
    </row>
    <row r="343" spans="2:15" x14ac:dyDescent="0.2">
      <c r="B343" s="80"/>
      <c r="C343" s="116" t="s">
        <v>142</v>
      </c>
      <c r="F343" s="19"/>
      <c r="G343" s="19"/>
      <c r="H343" s="114">
        <f>SUM(H339:H342)</f>
        <v>0</v>
      </c>
      <c r="I343" s="22">
        <f>I305-H343</f>
        <v>3688000</v>
      </c>
      <c r="N343" s="21"/>
      <c r="O343" s="21"/>
    </row>
    <row r="344" spans="2:15" x14ac:dyDescent="0.2">
      <c r="B344" s="80">
        <v>1</v>
      </c>
      <c r="C344" s="19" t="s">
        <v>424</v>
      </c>
      <c r="E344" s="19" t="s">
        <v>406</v>
      </c>
      <c r="F344" s="19" t="s">
        <v>143</v>
      </c>
      <c r="G344" s="19"/>
      <c r="H344" s="114">
        <v>1000000</v>
      </c>
      <c r="I344" s="22"/>
      <c r="N344" s="21"/>
      <c r="O344" s="21"/>
    </row>
    <row r="345" spans="2:15" x14ac:dyDescent="0.2">
      <c r="B345" s="80">
        <v>2</v>
      </c>
      <c r="C345" s="19" t="s">
        <v>433</v>
      </c>
      <c r="E345" s="19" t="s">
        <v>415</v>
      </c>
      <c r="F345" s="19" t="s">
        <v>143</v>
      </c>
      <c r="G345" s="19"/>
      <c r="H345" s="114">
        <v>2500000</v>
      </c>
      <c r="I345" s="22"/>
      <c r="N345" s="21"/>
      <c r="O345" s="21"/>
    </row>
    <row r="346" spans="2:15" x14ac:dyDescent="0.2">
      <c r="B346" s="80">
        <v>3</v>
      </c>
      <c r="C346" s="19" t="s">
        <v>435</v>
      </c>
      <c r="E346" s="19" t="s">
        <v>418</v>
      </c>
      <c r="F346" s="19" t="s">
        <v>143</v>
      </c>
      <c r="G346" s="19"/>
      <c r="H346" s="114">
        <v>1750000</v>
      </c>
      <c r="I346" s="22"/>
      <c r="N346" s="21"/>
      <c r="O346" s="21"/>
    </row>
    <row r="347" spans="2:15" ht="16.5" x14ac:dyDescent="0.35">
      <c r="B347" s="80">
        <v>4</v>
      </c>
      <c r="F347" s="19" t="s">
        <v>143</v>
      </c>
      <c r="G347" s="19"/>
      <c r="H347" s="115">
        <v>0</v>
      </c>
      <c r="I347" s="22"/>
      <c r="N347" s="21"/>
      <c r="O347" s="21"/>
    </row>
    <row r="348" spans="2:15" x14ac:dyDescent="0.2">
      <c r="B348" s="80"/>
      <c r="C348" s="116" t="s">
        <v>144</v>
      </c>
      <c r="F348" s="19"/>
      <c r="G348" s="19"/>
      <c r="H348" s="114">
        <f>SUM(H344:H347)</f>
        <v>5250000</v>
      </c>
      <c r="I348" s="22">
        <f>I306-H348</f>
        <v>17377720</v>
      </c>
      <c r="N348" s="21"/>
      <c r="O348" s="21"/>
    </row>
    <row r="349" spans="2:15" x14ac:dyDescent="0.2">
      <c r="B349" s="20"/>
      <c r="I349" s="22"/>
    </row>
    <row r="350" spans="2:15" ht="15" thickBot="1" x14ac:dyDescent="0.25">
      <c r="B350" s="20"/>
      <c r="C350" s="19" t="s">
        <v>27</v>
      </c>
      <c r="H350" s="117">
        <f>H328+H333+H338+H343+H348</f>
        <v>52290906</v>
      </c>
      <c r="I350" s="81"/>
    </row>
    <row r="351" spans="2:15" x14ac:dyDescent="0.2">
      <c r="B351" s="20"/>
      <c r="I351" s="22"/>
    </row>
    <row r="352" spans="2:15" ht="15" x14ac:dyDescent="0.25">
      <c r="B352" s="20"/>
      <c r="C352" s="19" t="s">
        <v>28</v>
      </c>
      <c r="H352" s="19"/>
      <c r="I352" s="82">
        <f>I308-H350</f>
        <v>38009095</v>
      </c>
    </row>
    <row r="353" spans="2:9" x14ac:dyDescent="0.2">
      <c r="B353" s="24"/>
      <c r="C353" s="25"/>
      <c r="D353" s="25"/>
      <c r="E353" s="25"/>
      <c r="F353" s="23"/>
      <c r="G353" s="23"/>
      <c r="H353" s="23"/>
      <c r="I353" s="37"/>
    </row>
    <row r="357" spans="2:9" ht="28.9" customHeight="1" thickBot="1" x14ac:dyDescent="0.25">
      <c r="B357" s="192" t="str">
        <f>B16</f>
        <v>KIWI</v>
      </c>
      <c r="C357" s="193"/>
      <c r="D357" s="193"/>
      <c r="E357" s="193"/>
      <c r="F357" s="193"/>
      <c r="G357" s="193"/>
      <c r="H357" s="193"/>
      <c r="I357" s="193"/>
    </row>
    <row r="358" spans="2:9" ht="21.75" x14ac:dyDescent="0.2">
      <c r="B358" s="194" t="s">
        <v>21</v>
      </c>
      <c r="C358" s="194"/>
      <c r="D358" s="194"/>
      <c r="E358" s="194"/>
      <c r="F358" s="194"/>
      <c r="G358" s="194"/>
      <c r="H358" s="194"/>
      <c r="I358" s="195"/>
    </row>
    <row r="359" spans="2:9" ht="21.75" x14ac:dyDescent="0.2">
      <c r="B359" s="186" t="s">
        <v>187</v>
      </c>
      <c r="C359" s="186"/>
      <c r="D359" s="186"/>
      <c r="E359" s="186"/>
      <c r="F359" s="186"/>
      <c r="G359" s="186"/>
      <c r="H359" s="186"/>
      <c r="I359" s="196"/>
    </row>
    <row r="361" spans="2:9" ht="21.75" x14ac:dyDescent="0.2">
      <c r="B361" s="105"/>
      <c r="C361" s="106" t="s">
        <v>22</v>
      </c>
      <c r="D361" s="106"/>
      <c r="E361" s="106"/>
      <c r="F361" s="106"/>
      <c r="G361" s="106"/>
      <c r="H361" s="106"/>
      <c r="I361" s="107"/>
    </row>
    <row r="362" spans="2:9" x14ac:dyDescent="0.2">
      <c r="B362" s="20"/>
      <c r="I362" s="22"/>
    </row>
    <row r="363" spans="2:9" ht="21.75" x14ac:dyDescent="0.2">
      <c r="B363" s="108"/>
      <c r="C363" s="102" t="s">
        <v>63</v>
      </c>
      <c r="D363" s="100"/>
      <c r="E363" s="100"/>
      <c r="F363" s="101" t="s">
        <v>115</v>
      </c>
      <c r="G363" s="101"/>
      <c r="H363" s="101" t="s">
        <v>116</v>
      </c>
      <c r="I363" s="109" t="s">
        <v>17</v>
      </c>
    </row>
    <row r="364" spans="2:9" x14ac:dyDescent="0.2">
      <c r="B364" s="20"/>
      <c r="I364" s="22"/>
    </row>
    <row r="365" spans="2:9" x14ac:dyDescent="0.2">
      <c r="B365" s="20"/>
      <c r="C365" s="19" t="s">
        <v>23</v>
      </c>
      <c r="H365" s="21">
        <f>'Rec.Data System-IN'!R21</f>
        <v>2416577</v>
      </c>
      <c r="I365" s="22">
        <f t="shared" ref="I365:I371" si="5">F365+H365</f>
        <v>2416577</v>
      </c>
    </row>
    <row r="366" spans="2:9" x14ac:dyDescent="0.2">
      <c r="B366" s="20"/>
      <c r="C366" s="19" t="s">
        <v>24</v>
      </c>
      <c r="H366" s="110">
        <f>'Rec.Data System-IN'!S21</f>
        <v>16426150</v>
      </c>
      <c r="I366" s="22">
        <f t="shared" si="5"/>
        <v>16426150</v>
      </c>
    </row>
    <row r="367" spans="2:9" ht="25.5" customHeight="1" x14ac:dyDescent="0.2">
      <c r="B367" s="20"/>
      <c r="C367" s="7" t="s">
        <v>81</v>
      </c>
      <c r="F367" s="21">
        <f>I328</f>
        <v>7816329</v>
      </c>
      <c r="H367" s="21">
        <f>SUM(H365:H366)</f>
        <v>18842727</v>
      </c>
      <c r="I367" s="22">
        <f t="shared" si="5"/>
        <v>26659056</v>
      </c>
    </row>
    <row r="368" spans="2:9" x14ac:dyDescent="0.2">
      <c r="B368" s="20"/>
      <c r="C368" s="19" t="s">
        <v>104</v>
      </c>
      <c r="F368" s="21">
        <f>I333</f>
        <v>1819000</v>
      </c>
      <c r="H368" s="21">
        <f>'Rec.Data System-IN'!T21</f>
        <v>590000</v>
      </c>
      <c r="I368" s="22">
        <f t="shared" si="5"/>
        <v>2409000</v>
      </c>
    </row>
    <row r="369" spans="2:9" x14ac:dyDescent="0.2">
      <c r="B369" s="20"/>
      <c r="C369" s="19" t="s">
        <v>34</v>
      </c>
      <c r="F369" s="21">
        <f>I338</f>
        <v>7308046</v>
      </c>
      <c r="H369" s="21">
        <f>'Rec.Data System-IN'!U21</f>
        <v>69316843</v>
      </c>
      <c r="I369" s="22">
        <f t="shared" si="5"/>
        <v>76624889</v>
      </c>
    </row>
    <row r="370" spans="2:9" x14ac:dyDescent="0.2">
      <c r="B370" s="20"/>
      <c r="C370" s="19" t="s">
        <v>105</v>
      </c>
      <c r="F370" s="21">
        <f>I343</f>
        <v>3688000</v>
      </c>
      <c r="H370" s="21">
        <f>'Rec.Data System-IN'!V21</f>
        <v>667000</v>
      </c>
      <c r="I370" s="22">
        <f t="shared" si="5"/>
        <v>4355000</v>
      </c>
    </row>
    <row r="371" spans="2:9" x14ac:dyDescent="0.2">
      <c r="B371" s="20"/>
      <c r="C371" s="19" t="s">
        <v>106</v>
      </c>
      <c r="F371" s="110">
        <f>I348</f>
        <v>17377720</v>
      </c>
      <c r="H371" s="21">
        <f>'Rec.Data System-IN'!W21</f>
        <v>4460000</v>
      </c>
      <c r="I371" s="22">
        <f t="shared" si="5"/>
        <v>21837720</v>
      </c>
    </row>
    <row r="372" spans="2:9" x14ac:dyDescent="0.2">
      <c r="B372" s="20"/>
      <c r="I372" s="22"/>
    </row>
    <row r="373" spans="2:9" ht="15.75" thickBot="1" x14ac:dyDescent="0.3">
      <c r="B373" s="20"/>
      <c r="C373" s="19" t="s">
        <v>25</v>
      </c>
      <c r="I373" s="83">
        <f>SUM(I367:I371)</f>
        <v>131885665</v>
      </c>
    </row>
    <row r="374" spans="2:9" ht="15" thickTop="1" x14ac:dyDescent="0.2">
      <c r="B374" s="20"/>
      <c r="I374" s="22"/>
    </row>
    <row r="375" spans="2:9" ht="21.75" x14ac:dyDescent="0.2">
      <c r="B375" s="111"/>
      <c r="C375" s="103" t="s">
        <v>26</v>
      </c>
      <c r="D375" s="103"/>
      <c r="E375" s="103"/>
      <c r="F375" s="103"/>
      <c r="G375" s="103"/>
      <c r="H375" s="103"/>
      <c r="I375" s="112"/>
    </row>
    <row r="376" spans="2:9" x14ac:dyDescent="0.2">
      <c r="B376" s="20"/>
      <c r="F376" s="19"/>
      <c r="H376" s="19"/>
      <c r="I376" s="22"/>
    </row>
    <row r="377" spans="2:9" ht="21.75" x14ac:dyDescent="0.2">
      <c r="B377" s="108"/>
      <c r="C377" s="102" t="s">
        <v>65</v>
      </c>
      <c r="D377" s="100"/>
      <c r="E377" s="102" t="s">
        <v>145</v>
      </c>
      <c r="F377" s="104" t="s">
        <v>114</v>
      </c>
      <c r="G377" s="101"/>
      <c r="H377" s="101"/>
      <c r="I377" s="109"/>
    </row>
    <row r="378" spans="2:9" x14ac:dyDescent="0.2">
      <c r="B378" s="80"/>
      <c r="F378" s="19" t="s">
        <v>113</v>
      </c>
      <c r="H378" s="113"/>
      <c r="I378" s="22"/>
    </row>
    <row r="379" spans="2:9" x14ac:dyDescent="0.2">
      <c r="B379" s="80"/>
      <c r="F379" s="19"/>
      <c r="H379" s="113"/>
      <c r="I379" s="22"/>
    </row>
    <row r="380" spans="2:9" x14ac:dyDescent="0.2">
      <c r="B380" s="80">
        <v>1</v>
      </c>
      <c r="C380" s="19" t="s">
        <v>325</v>
      </c>
      <c r="E380" s="19" t="s">
        <v>439</v>
      </c>
      <c r="F380" s="19" t="s">
        <v>135</v>
      </c>
      <c r="G380" s="19"/>
      <c r="H380" s="114">
        <v>43301</v>
      </c>
      <c r="I380" s="22"/>
    </row>
    <row r="381" spans="2:9" x14ac:dyDescent="0.2">
      <c r="B381" s="80">
        <v>2</v>
      </c>
      <c r="C381" s="19" t="s">
        <v>472</v>
      </c>
      <c r="E381" s="19" t="s">
        <v>441</v>
      </c>
      <c r="F381" s="19" t="s">
        <v>135</v>
      </c>
      <c r="G381" s="19"/>
      <c r="H381" s="114">
        <v>2500000</v>
      </c>
      <c r="I381" s="22"/>
    </row>
    <row r="382" spans="2:9" x14ac:dyDescent="0.2">
      <c r="B382" s="80">
        <v>3</v>
      </c>
      <c r="C382" s="19" t="s">
        <v>473</v>
      </c>
      <c r="E382" s="19" t="s">
        <v>442</v>
      </c>
      <c r="F382" s="19" t="s">
        <v>135</v>
      </c>
      <c r="G382" s="19"/>
      <c r="H382" s="114">
        <v>300000</v>
      </c>
      <c r="I382" s="22"/>
    </row>
    <row r="383" spans="2:9" x14ac:dyDescent="0.2">
      <c r="B383" s="80">
        <v>4</v>
      </c>
      <c r="C383" s="19" t="s">
        <v>474</v>
      </c>
      <c r="E383" s="19" t="s">
        <v>443</v>
      </c>
      <c r="F383" s="19" t="s">
        <v>135</v>
      </c>
      <c r="G383" s="19"/>
      <c r="H383" s="114">
        <v>300000</v>
      </c>
      <c r="I383" s="22"/>
    </row>
    <row r="384" spans="2:9" x14ac:dyDescent="0.2">
      <c r="B384" s="80">
        <v>5</v>
      </c>
      <c r="C384" s="19" t="s">
        <v>476</v>
      </c>
      <c r="E384" s="19" t="s">
        <v>445</v>
      </c>
      <c r="F384" s="19" t="s">
        <v>135</v>
      </c>
      <c r="G384" s="19"/>
      <c r="H384" s="114">
        <v>2000000</v>
      </c>
      <c r="I384" s="22"/>
    </row>
    <row r="385" spans="2:15" x14ac:dyDescent="0.2">
      <c r="B385" s="80">
        <v>6</v>
      </c>
      <c r="C385" s="19" t="s">
        <v>477</v>
      </c>
      <c r="E385" s="19" t="s">
        <v>446</v>
      </c>
      <c r="F385" s="19" t="s">
        <v>135</v>
      </c>
      <c r="G385" s="19"/>
      <c r="H385" s="114">
        <v>1000000</v>
      </c>
      <c r="I385" s="22"/>
    </row>
    <row r="386" spans="2:15" x14ac:dyDescent="0.2">
      <c r="B386" s="80">
        <v>7</v>
      </c>
      <c r="C386" s="19" t="s">
        <v>478</v>
      </c>
      <c r="E386" s="19" t="s">
        <v>447</v>
      </c>
      <c r="F386" s="19" t="s">
        <v>135</v>
      </c>
      <c r="G386" s="19"/>
      <c r="H386" s="114">
        <v>500000</v>
      </c>
      <c r="I386" s="22"/>
    </row>
    <row r="387" spans="2:15" x14ac:dyDescent="0.2">
      <c r="B387" s="80">
        <v>8</v>
      </c>
      <c r="C387" s="19" t="s">
        <v>479</v>
      </c>
      <c r="E387" s="19" t="s">
        <v>448</v>
      </c>
      <c r="F387" s="19" t="s">
        <v>135</v>
      </c>
      <c r="G387" s="19"/>
      <c r="H387" s="114">
        <v>625000</v>
      </c>
      <c r="I387" s="22"/>
    </row>
    <row r="388" spans="2:15" x14ac:dyDescent="0.2">
      <c r="B388" s="80">
        <v>9</v>
      </c>
      <c r="C388" s="19" t="s">
        <v>480</v>
      </c>
      <c r="E388" s="19" t="s">
        <v>449</v>
      </c>
      <c r="F388" s="19" t="s">
        <v>135</v>
      </c>
      <c r="G388" s="19"/>
      <c r="H388" s="114">
        <v>300000</v>
      </c>
      <c r="I388" s="22"/>
    </row>
    <row r="389" spans="2:15" x14ac:dyDescent="0.2">
      <c r="B389" s="80">
        <v>10</v>
      </c>
      <c r="C389" s="19" t="s">
        <v>481</v>
      </c>
      <c r="E389" s="19" t="s">
        <v>450</v>
      </c>
      <c r="F389" s="19" t="s">
        <v>135</v>
      </c>
      <c r="G389" s="19"/>
      <c r="H389" s="114">
        <v>123000</v>
      </c>
      <c r="I389" s="22"/>
    </row>
    <row r="390" spans="2:15" x14ac:dyDescent="0.2">
      <c r="B390" s="80">
        <v>11</v>
      </c>
      <c r="C390" s="19" t="s">
        <v>483</v>
      </c>
      <c r="E390" s="19" t="s">
        <v>452</v>
      </c>
      <c r="F390" s="19" t="s">
        <v>135</v>
      </c>
      <c r="G390" s="19"/>
      <c r="H390" s="114">
        <v>2643000</v>
      </c>
      <c r="I390" s="22"/>
    </row>
    <row r="391" spans="2:15" x14ac:dyDescent="0.2">
      <c r="B391" s="80">
        <v>12</v>
      </c>
      <c r="C391" s="19" t="s">
        <v>484</v>
      </c>
      <c r="E391" s="19" t="s">
        <v>453</v>
      </c>
      <c r="F391" s="19" t="s">
        <v>135</v>
      </c>
      <c r="G391" s="19"/>
      <c r="H391" s="114">
        <v>1236765</v>
      </c>
      <c r="I391" s="22"/>
    </row>
    <row r="392" spans="2:15" x14ac:dyDescent="0.2">
      <c r="B392" s="80">
        <v>13</v>
      </c>
      <c r="C392" s="19" t="s">
        <v>485</v>
      </c>
      <c r="E392" s="19" t="s">
        <v>454</v>
      </c>
      <c r="F392" s="19" t="s">
        <v>135</v>
      </c>
      <c r="G392" s="19"/>
      <c r="H392" s="114">
        <v>2250000</v>
      </c>
      <c r="I392" s="22"/>
    </row>
    <row r="393" spans="2:15" x14ac:dyDescent="0.2">
      <c r="B393" s="80">
        <v>14</v>
      </c>
      <c r="C393" s="19" t="s">
        <v>486</v>
      </c>
      <c r="E393" s="19" t="s">
        <v>455</v>
      </c>
      <c r="F393" s="19" t="s">
        <v>135</v>
      </c>
      <c r="G393" s="19"/>
      <c r="H393" s="114">
        <v>400000</v>
      </c>
      <c r="I393" s="22"/>
    </row>
    <row r="394" spans="2:15" x14ac:dyDescent="0.2">
      <c r="B394" s="80">
        <v>15</v>
      </c>
      <c r="C394" s="19" t="s">
        <v>487</v>
      </c>
      <c r="E394" s="19" t="s">
        <v>456</v>
      </c>
      <c r="F394" s="19" t="s">
        <v>135</v>
      </c>
      <c r="G394" s="19"/>
      <c r="H394" s="114">
        <v>436019</v>
      </c>
      <c r="I394" s="22"/>
    </row>
    <row r="395" spans="2:15" x14ac:dyDescent="0.2">
      <c r="B395" s="80">
        <v>16</v>
      </c>
      <c r="C395" s="19" t="s">
        <v>488</v>
      </c>
      <c r="E395" s="19" t="s">
        <v>457</v>
      </c>
      <c r="F395" s="19" t="s">
        <v>135</v>
      </c>
      <c r="G395" s="19"/>
      <c r="H395" s="114">
        <v>301000</v>
      </c>
      <c r="I395" s="22"/>
    </row>
    <row r="396" spans="2:15" x14ac:dyDescent="0.2">
      <c r="B396" s="80">
        <v>17</v>
      </c>
      <c r="C396" s="19" t="s">
        <v>489</v>
      </c>
      <c r="E396" s="19" t="s">
        <v>458</v>
      </c>
      <c r="F396" s="19" t="s">
        <v>135</v>
      </c>
      <c r="G396" s="19"/>
      <c r="H396" s="114">
        <v>340000</v>
      </c>
      <c r="I396" s="22"/>
    </row>
    <row r="397" spans="2:15" x14ac:dyDescent="0.2">
      <c r="B397" s="80">
        <v>18</v>
      </c>
      <c r="C397" s="19" t="s">
        <v>490</v>
      </c>
      <c r="E397" s="19" t="s">
        <v>459</v>
      </c>
      <c r="F397" s="19" t="s">
        <v>135</v>
      </c>
      <c r="G397" s="19"/>
      <c r="H397" s="114">
        <v>2900000</v>
      </c>
      <c r="I397" s="22"/>
    </row>
    <row r="398" spans="2:15" x14ac:dyDescent="0.2">
      <c r="B398" s="80">
        <v>19</v>
      </c>
      <c r="C398" s="19" t="s">
        <v>495</v>
      </c>
      <c r="E398" s="19" t="s">
        <v>464</v>
      </c>
      <c r="F398" s="19" t="s">
        <v>135</v>
      </c>
      <c r="G398" s="19"/>
      <c r="H398" s="114">
        <v>2050000</v>
      </c>
      <c r="I398" s="22"/>
      <c r="N398" s="21"/>
      <c r="O398" s="21"/>
    </row>
    <row r="399" spans="2:15" ht="16.5" x14ac:dyDescent="0.35">
      <c r="B399" s="80">
        <v>20</v>
      </c>
      <c r="C399" s="19" t="s">
        <v>496</v>
      </c>
      <c r="E399" s="19" t="s">
        <v>465</v>
      </c>
      <c r="F399" s="19" t="s">
        <v>135</v>
      </c>
      <c r="G399" s="19"/>
      <c r="H399" s="115">
        <v>150000</v>
      </c>
      <c r="I399" s="22"/>
      <c r="N399" s="21"/>
      <c r="O399" s="21"/>
    </row>
    <row r="400" spans="2:15" x14ac:dyDescent="0.2">
      <c r="B400" s="80"/>
      <c r="C400" s="116" t="s">
        <v>139</v>
      </c>
      <c r="F400" s="19"/>
      <c r="G400" s="19"/>
      <c r="H400" s="114">
        <f>SUM(H380:H399)</f>
        <v>20398085</v>
      </c>
      <c r="I400" s="22">
        <f>I367-H400</f>
        <v>6260971</v>
      </c>
      <c r="N400" s="21"/>
      <c r="O400" s="21"/>
    </row>
    <row r="401" spans="2:15" x14ac:dyDescent="0.2">
      <c r="B401" s="80">
        <v>1</v>
      </c>
      <c r="C401" s="19" t="s">
        <v>471</v>
      </c>
      <c r="E401" s="19" t="s">
        <v>440</v>
      </c>
      <c r="F401" s="19" t="s">
        <v>104</v>
      </c>
      <c r="G401" s="19"/>
      <c r="H401" s="114">
        <v>1500000</v>
      </c>
      <c r="I401" s="22"/>
      <c r="N401" s="21"/>
      <c r="O401" s="21"/>
    </row>
    <row r="402" spans="2:15" x14ac:dyDescent="0.2">
      <c r="B402" s="80">
        <v>2</v>
      </c>
      <c r="C402" s="19" t="s">
        <v>475</v>
      </c>
      <c r="E402" s="19" t="s">
        <v>444</v>
      </c>
      <c r="F402" s="19" t="s">
        <v>104</v>
      </c>
      <c r="G402" s="19"/>
      <c r="H402" s="114">
        <v>216000</v>
      </c>
      <c r="I402" s="22"/>
      <c r="N402" s="21"/>
      <c r="O402" s="21"/>
    </row>
    <row r="403" spans="2:15" x14ac:dyDescent="0.2">
      <c r="B403" s="80">
        <v>3</v>
      </c>
      <c r="F403" s="19" t="s">
        <v>104</v>
      </c>
      <c r="G403" s="19"/>
      <c r="H403" s="114">
        <v>0</v>
      </c>
      <c r="I403" s="22"/>
      <c r="N403" s="21"/>
      <c r="O403" s="21"/>
    </row>
    <row r="404" spans="2:15" ht="16.5" x14ac:dyDescent="0.35">
      <c r="B404" s="80">
        <v>4</v>
      </c>
      <c r="F404" s="19" t="s">
        <v>104</v>
      </c>
      <c r="G404" s="19"/>
      <c r="H404" s="115">
        <v>0</v>
      </c>
      <c r="I404" s="22"/>
      <c r="N404" s="21"/>
      <c r="O404" s="21"/>
    </row>
    <row r="405" spans="2:15" x14ac:dyDescent="0.2">
      <c r="B405" s="80"/>
      <c r="C405" s="116" t="s">
        <v>140</v>
      </c>
      <c r="F405" s="19"/>
      <c r="G405" s="19"/>
      <c r="H405" s="114">
        <f>SUM(H401:H404)</f>
        <v>1716000</v>
      </c>
      <c r="I405" s="22">
        <f>I368-H405</f>
        <v>693000</v>
      </c>
      <c r="N405" s="21"/>
      <c r="O405" s="21"/>
    </row>
    <row r="406" spans="2:15" x14ac:dyDescent="0.2">
      <c r="B406" s="80">
        <v>1</v>
      </c>
      <c r="C406" s="19" t="s">
        <v>497</v>
      </c>
      <c r="E406" s="19" t="s">
        <v>466</v>
      </c>
      <c r="F406" s="19" t="s">
        <v>34</v>
      </c>
      <c r="G406" s="19"/>
      <c r="H406" s="114">
        <v>10000000</v>
      </c>
      <c r="I406" s="22"/>
      <c r="N406" s="21"/>
      <c r="O406" s="21"/>
    </row>
    <row r="407" spans="2:15" x14ac:dyDescent="0.2">
      <c r="B407" s="80">
        <v>2</v>
      </c>
      <c r="C407" s="19" t="s">
        <v>498</v>
      </c>
      <c r="E407" s="19" t="s">
        <v>467</v>
      </c>
      <c r="F407" s="19" t="s">
        <v>34</v>
      </c>
      <c r="G407" s="19"/>
      <c r="H407" s="114">
        <v>40000000</v>
      </c>
      <c r="I407" s="22"/>
      <c r="N407" s="21"/>
      <c r="O407" s="21"/>
    </row>
    <row r="408" spans="2:15" x14ac:dyDescent="0.2">
      <c r="B408" s="80">
        <v>3</v>
      </c>
      <c r="C408" s="19" t="s">
        <v>500</v>
      </c>
      <c r="E408" s="19" t="s">
        <v>470</v>
      </c>
      <c r="F408" s="19" t="s">
        <v>34</v>
      </c>
      <c r="G408" s="19"/>
      <c r="H408" s="114">
        <v>1050077</v>
      </c>
      <c r="I408" s="22"/>
      <c r="N408" s="21"/>
      <c r="O408" s="21"/>
    </row>
    <row r="409" spans="2:15" ht="16.5" x14ac:dyDescent="0.35">
      <c r="B409" s="80">
        <v>4</v>
      </c>
      <c r="F409" s="19" t="s">
        <v>34</v>
      </c>
      <c r="G409" s="19"/>
      <c r="H409" s="115">
        <v>0</v>
      </c>
      <c r="I409" s="22"/>
      <c r="N409" s="21"/>
      <c r="O409" s="21"/>
    </row>
    <row r="410" spans="2:15" x14ac:dyDescent="0.2">
      <c r="B410" s="80"/>
      <c r="C410" s="116" t="s">
        <v>141</v>
      </c>
      <c r="F410" s="19"/>
      <c r="G410" s="19"/>
      <c r="H410" s="114">
        <f>SUM(H406:H409)</f>
        <v>51050077</v>
      </c>
      <c r="I410" s="22">
        <f>I369-H410</f>
        <v>25574812</v>
      </c>
      <c r="N410" s="21"/>
      <c r="O410" s="21"/>
    </row>
    <row r="411" spans="2:15" x14ac:dyDescent="0.2">
      <c r="B411" s="80">
        <v>1</v>
      </c>
      <c r="C411" s="19" t="s">
        <v>492</v>
      </c>
      <c r="E411" s="19" t="s">
        <v>461</v>
      </c>
      <c r="F411" s="19" t="s">
        <v>105</v>
      </c>
      <c r="G411" s="19"/>
      <c r="H411" s="114">
        <v>3000000</v>
      </c>
      <c r="I411" s="22"/>
      <c r="N411" s="21"/>
      <c r="O411" s="21"/>
    </row>
    <row r="412" spans="2:15" x14ac:dyDescent="0.2">
      <c r="B412" s="80">
        <v>2</v>
      </c>
      <c r="C412" s="19" t="s">
        <v>493</v>
      </c>
      <c r="E412" s="19" t="s">
        <v>462</v>
      </c>
      <c r="F412" s="19" t="s">
        <v>105</v>
      </c>
      <c r="G412" s="19"/>
      <c r="H412" s="114">
        <v>675000</v>
      </c>
      <c r="I412" s="22"/>
      <c r="N412" s="21"/>
      <c r="O412" s="21"/>
    </row>
    <row r="413" spans="2:15" x14ac:dyDescent="0.2">
      <c r="B413" s="80">
        <v>3</v>
      </c>
      <c r="F413" s="19" t="s">
        <v>105</v>
      </c>
      <c r="G413" s="19"/>
      <c r="H413" s="114">
        <v>0</v>
      </c>
      <c r="I413" s="22"/>
      <c r="N413" s="21"/>
      <c r="O413" s="21"/>
    </row>
    <row r="414" spans="2:15" ht="16.5" x14ac:dyDescent="0.35">
      <c r="B414" s="80">
        <v>4</v>
      </c>
      <c r="F414" s="19" t="s">
        <v>105</v>
      </c>
      <c r="G414" s="19"/>
      <c r="H414" s="115">
        <v>0</v>
      </c>
      <c r="I414" s="22"/>
      <c r="N414" s="21"/>
      <c r="O414" s="21"/>
    </row>
    <row r="415" spans="2:15" x14ac:dyDescent="0.2">
      <c r="B415" s="80"/>
      <c r="C415" s="116" t="s">
        <v>142</v>
      </c>
      <c r="F415" s="19"/>
      <c r="G415" s="19"/>
      <c r="H415" s="114">
        <f>SUM(H411:H414)</f>
        <v>3675000</v>
      </c>
      <c r="I415" s="22">
        <f>I370-H415</f>
        <v>680000</v>
      </c>
      <c r="N415" s="21"/>
      <c r="O415" s="21"/>
    </row>
    <row r="416" spans="2:15" x14ac:dyDescent="0.2">
      <c r="B416" s="80">
        <v>1</v>
      </c>
      <c r="C416" s="19" t="s">
        <v>482</v>
      </c>
      <c r="E416" s="19" t="s">
        <v>451</v>
      </c>
      <c r="F416" s="19" t="s">
        <v>143</v>
      </c>
      <c r="G416" s="19"/>
      <c r="H416" s="114">
        <v>500000</v>
      </c>
      <c r="I416" s="22"/>
      <c r="N416" s="21"/>
      <c r="O416" s="21"/>
    </row>
    <row r="417" spans="2:15" x14ac:dyDescent="0.2">
      <c r="B417" s="80">
        <v>2</v>
      </c>
      <c r="C417" s="19" t="s">
        <v>491</v>
      </c>
      <c r="E417" s="19" t="s">
        <v>460</v>
      </c>
      <c r="F417" s="19" t="s">
        <v>143</v>
      </c>
      <c r="G417" s="19"/>
      <c r="H417" s="114">
        <v>200000</v>
      </c>
      <c r="I417" s="22"/>
      <c r="N417" s="21"/>
      <c r="O417" s="21"/>
    </row>
    <row r="418" spans="2:15" x14ac:dyDescent="0.2">
      <c r="B418" s="80">
        <v>3</v>
      </c>
      <c r="C418" s="19" t="s">
        <v>494</v>
      </c>
      <c r="E418" s="19" t="s">
        <v>463</v>
      </c>
      <c r="F418" s="19" t="s">
        <v>143</v>
      </c>
      <c r="G418" s="19"/>
      <c r="H418" s="114">
        <v>1500000</v>
      </c>
      <c r="I418" s="22"/>
      <c r="N418" s="21"/>
      <c r="O418" s="21"/>
    </row>
    <row r="419" spans="2:15" x14ac:dyDescent="0.2">
      <c r="B419" s="80">
        <v>4</v>
      </c>
      <c r="C419" s="19" t="s">
        <v>499</v>
      </c>
      <c r="E419" s="19" t="s">
        <v>468</v>
      </c>
      <c r="F419" s="19" t="s">
        <v>143</v>
      </c>
      <c r="G419" s="19"/>
      <c r="H419" s="114">
        <v>750000</v>
      </c>
      <c r="I419" s="22"/>
      <c r="N419" s="21"/>
      <c r="O419" s="21"/>
    </row>
    <row r="420" spans="2:15" ht="16.5" x14ac:dyDescent="0.35">
      <c r="B420" s="80">
        <v>5</v>
      </c>
      <c r="C420" s="19" t="s">
        <v>500</v>
      </c>
      <c r="E420" s="19" t="s">
        <v>469</v>
      </c>
      <c r="F420" s="19" t="s">
        <v>143</v>
      </c>
      <c r="G420" s="19"/>
      <c r="H420" s="115">
        <v>10000000</v>
      </c>
      <c r="I420" s="22"/>
      <c r="N420" s="21"/>
      <c r="O420" s="21"/>
    </row>
    <row r="421" spans="2:15" x14ac:dyDescent="0.2">
      <c r="B421" s="80"/>
      <c r="C421" s="116" t="s">
        <v>144</v>
      </c>
      <c r="F421" s="19"/>
      <c r="G421" s="19"/>
      <c r="H421" s="114">
        <f>SUM(H416:H420)</f>
        <v>12950000</v>
      </c>
      <c r="I421" s="22">
        <f>I371-H421</f>
        <v>8887720</v>
      </c>
      <c r="N421" s="21"/>
      <c r="O421" s="21"/>
    </row>
    <row r="422" spans="2:15" x14ac:dyDescent="0.2">
      <c r="B422" s="20"/>
      <c r="I422" s="22"/>
    </row>
    <row r="423" spans="2:15" ht="15" thickBot="1" x14ac:dyDescent="0.25">
      <c r="B423" s="20"/>
      <c r="C423" s="19" t="s">
        <v>27</v>
      </c>
      <c r="H423" s="117">
        <f>H400+H405+H410+H415+H421</f>
        <v>89789162</v>
      </c>
      <c r="I423" s="81"/>
    </row>
    <row r="424" spans="2:15" x14ac:dyDescent="0.2">
      <c r="B424" s="20"/>
      <c r="I424" s="22"/>
    </row>
    <row r="425" spans="2:15" ht="15" x14ac:dyDescent="0.25">
      <c r="B425" s="20"/>
      <c r="C425" s="19" t="s">
        <v>28</v>
      </c>
      <c r="H425" s="19"/>
      <c r="I425" s="82">
        <f>I373-H423</f>
        <v>42096503</v>
      </c>
    </row>
    <row r="426" spans="2:15" x14ac:dyDescent="0.2">
      <c r="B426" s="24"/>
      <c r="C426" s="25"/>
      <c r="D426" s="25"/>
      <c r="E426" s="25"/>
      <c r="F426" s="23"/>
      <c r="G426" s="23"/>
      <c r="H426" s="23"/>
      <c r="I426" s="37"/>
    </row>
    <row r="430" spans="2:15" ht="28.9" customHeight="1" thickBot="1" x14ac:dyDescent="0.25">
      <c r="B430" s="192" t="str">
        <f>B16</f>
        <v>KIWI</v>
      </c>
      <c r="C430" s="193"/>
      <c r="D430" s="193"/>
      <c r="E430" s="193"/>
      <c r="F430" s="193"/>
      <c r="G430" s="193"/>
      <c r="H430" s="193"/>
      <c r="I430" s="193"/>
    </row>
    <row r="431" spans="2:15" ht="21.75" x14ac:dyDescent="0.2">
      <c r="B431" s="194" t="s">
        <v>21</v>
      </c>
      <c r="C431" s="194"/>
      <c r="D431" s="194"/>
      <c r="E431" s="194"/>
      <c r="F431" s="194"/>
      <c r="G431" s="194"/>
      <c r="H431" s="194"/>
      <c r="I431" s="195"/>
    </row>
    <row r="432" spans="2:15" ht="21.75" x14ac:dyDescent="0.2">
      <c r="B432" s="186" t="s">
        <v>188</v>
      </c>
      <c r="C432" s="186"/>
      <c r="D432" s="186"/>
      <c r="E432" s="186"/>
      <c r="F432" s="186"/>
      <c r="G432" s="186"/>
      <c r="H432" s="186"/>
      <c r="I432" s="196"/>
    </row>
    <row r="434" spans="2:9" ht="21.75" x14ac:dyDescent="0.2">
      <c r="B434" s="105"/>
      <c r="C434" s="106" t="s">
        <v>22</v>
      </c>
      <c r="D434" s="106"/>
      <c r="E434" s="106"/>
      <c r="F434" s="106"/>
      <c r="G434" s="106"/>
      <c r="H434" s="106"/>
      <c r="I434" s="107"/>
    </row>
    <row r="435" spans="2:9" x14ac:dyDescent="0.2">
      <c r="B435" s="20"/>
      <c r="I435" s="22"/>
    </row>
    <row r="436" spans="2:9" ht="21.75" x14ac:dyDescent="0.2">
      <c r="B436" s="108"/>
      <c r="C436" s="102" t="s">
        <v>63</v>
      </c>
      <c r="D436" s="100"/>
      <c r="E436" s="100"/>
      <c r="F436" s="101" t="s">
        <v>115</v>
      </c>
      <c r="G436" s="101"/>
      <c r="H436" s="101" t="s">
        <v>116</v>
      </c>
      <c r="I436" s="109" t="s">
        <v>17</v>
      </c>
    </row>
    <row r="437" spans="2:9" x14ac:dyDescent="0.2">
      <c r="B437" s="20"/>
      <c r="I437" s="22"/>
    </row>
    <row r="438" spans="2:9" x14ac:dyDescent="0.2">
      <c r="B438" s="20"/>
      <c r="C438" s="19" t="s">
        <v>23</v>
      </c>
      <c r="H438" s="21">
        <f>'Rec.Data System-IN'!R22</f>
        <v>1518814</v>
      </c>
      <c r="I438" s="22">
        <f t="shared" ref="I438:I444" si="6">F438+H438</f>
        <v>1518814</v>
      </c>
    </row>
    <row r="439" spans="2:9" x14ac:dyDescent="0.2">
      <c r="B439" s="20"/>
      <c r="C439" s="19" t="s">
        <v>24</v>
      </c>
      <c r="H439" s="110">
        <f>'Rec.Data System-IN'!S22</f>
        <v>19074884</v>
      </c>
      <c r="I439" s="22">
        <f t="shared" si="6"/>
        <v>19074884</v>
      </c>
    </row>
    <row r="440" spans="2:9" ht="25.5" customHeight="1" x14ac:dyDescent="0.2">
      <c r="B440" s="20"/>
      <c r="C440" s="7" t="s">
        <v>81</v>
      </c>
      <c r="F440" s="21">
        <f>I400</f>
        <v>6260971</v>
      </c>
      <c r="H440" s="21">
        <f>SUM(H438:H439)</f>
        <v>20593698</v>
      </c>
      <c r="I440" s="22">
        <f t="shared" si="6"/>
        <v>26854669</v>
      </c>
    </row>
    <row r="441" spans="2:9" x14ac:dyDescent="0.2">
      <c r="B441" s="20"/>
      <c r="C441" s="19" t="s">
        <v>104</v>
      </c>
      <c r="F441" s="21">
        <f>I405</f>
        <v>693000</v>
      </c>
      <c r="H441" s="21">
        <f>'Rec.Data System-IN'!T22</f>
        <v>0</v>
      </c>
      <c r="I441" s="22">
        <f t="shared" si="6"/>
        <v>693000</v>
      </c>
    </row>
    <row r="442" spans="2:9" x14ac:dyDescent="0.2">
      <c r="B442" s="20"/>
      <c r="C442" s="19" t="s">
        <v>34</v>
      </c>
      <c r="F442" s="21">
        <f>I410</f>
        <v>25574812</v>
      </c>
      <c r="H442" s="21">
        <f>'Rec.Data System-IN'!U22</f>
        <v>34021000</v>
      </c>
      <c r="I442" s="22">
        <f t="shared" si="6"/>
        <v>59595812</v>
      </c>
    </row>
    <row r="443" spans="2:9" x14ac:dyDescent="0.2">
      <c r="B443" s="20"/>
      <c r="C443" s="19" t="s">
        <v>105</v>
      </c>
      <c r="F443" s="21">
        <f>I415</f>
        <v>680000</v>
      </c>
      <c r="H443" s="21">
        <f>'Rec.Data System-IN'!V22</f>
        <v>1178000</v>
      </c>
      <c r="I443" s="22">
        <f t="shared" si="6"/>
        <v>1858000</v>
      </c>
    </row>
    <row r="444" spans="2:9" x14ac:dyDescent="0.2">
      <c r="B444" s="20"/>
      <c r="C444" s="19" t="s">
        <v>106</v>
      </c>
      <c r="F444" s="110">
        <f>I421</f>
        <v>8887720</v>
      </c>
      <c r="H444" s="21">
        <f>'Rec.Data System-IN'!W22</f>
        <v>5772000</v>
      </c>
      <c r="I444" s="22">
        <f t="shared" si="6"/>
        <v>14659720</v>
      </c>
    </row>
    <row r="445" spans="2:9" x14ac:dyDescent="0.2">
      <c r="B445" s="20"/>
      <c r="I445" s="22"/>
    </row>
    <row r="446" spans="2:9" ht="15.75" thickBot="1" x14ac:dyDescent="0.3">
      <c r="B446" s="20"/>
      <c r="C446" s="19" t="s">
        <v>25</v>
      </c>
      <c r="I446" s="83">
        <f>SUM(I440:I444)</f>
        <v>103661201</v>
      </c>
    </row>
    <row r="447" spans="2:9" ht="15" thickTop="1" x14ac:dyDescent="0.2">
      <c r="B447" s="20"/>
      <c r="I447" s="22"/>
    </row>
    <row r="448" spans="2:9" ht="21.75" x14ac:dyDescent="0.2">
      <c r="B448" s="111"/>
      <c r="C448" s="103" t="s">
        <v>26</v>
      </c>
      <c r="D448" s="103"/>
      <c r="E448" s="103"/>
      <c r="F448" s="103"/>
      <c r="G448" s="103"/>
      <c r="H448" s="103"/>
      <c r="I448" s="112"/>
    </row>
    <row r="449" spans="2:9" x14ac:dyDescent="0.2">
      <c r="B449" s="20"/>
      <c r="F449" s="19"/>
      <c r="H449" s="19"/>
      <c r="I449" s="22"/>
    </row>
    <row r="450" spans="2:9" ht="21.75" x14ac:dyDescent="0.2">
      <c r="B450" s="108"/>
      <c r="C450" s="102" t="s">
        <v>65</v>
      </c>
      <c r="D450" s="100"/>
      <c r="E450" s="102" t="s">
        <v>145</v>
      </c>
      <c r="F450" s="104" t="s">
        <v>114</v>
      </c>
      <c r="G450" s="101"/>
      <c r="H450" s="101"/>
      <c r="I450" s="109"/>
    </row>
    <row r="451" spans="2:9" x14ac:dyDescent="0.2">
      <c r="B451" s="80"/>
      <c r="F451" s="19" t="s">
        <v>113</v>
      </c>
      <c r="H451" s="113"/>
      <c r="I451" s="22"/>
    </row>
    <row r="452" spans="2:9" x14ac:dyDescent="0.2">
      <c r="B452" s="80"/>
      <c r="F452" s="19"/>
      <c r="H452" s="113"/>
      <c r="I452" s="22"/>
    </row>
    <row r="453" spans="2:9" x14ac:dyDescent="0.2">
      <c r="B453" s="80">
        <v>1</v>
      </c>
      <c r="C453" s="19" t="s">
        <v>325</v>
      </c>
      <c r="E453" s="19" t="s">
        <v>504</v>
      </c>
      <c r="F453" s="19" t="s">
        <v>135</v>
      </c>
      <c r="G453" s="19"/>
      <c r="H453" s="114">
        <v>18500</v>
      </c>
      <c r="I453" s="22"/>
    </row>
    <row r="454" spans="2:9" x14ac:dyDescent="0.2">
      <c r="B454" s="80">
        <v>2</v>
      </c>
      <c r="C454" s="19" t="s">
        <v>325</v>
      </c>
      <c r="E454" s="19" t="s">
        <v>505</v>
      </c>
      <c r="F454" s="19" t="s">
        <v>135</v>
      </c>
      <c r="G454" s="19"/>
      <c r="H454" s="114">
        <v>12500</v>
      </c>
      <c r="I454" s="22"/>
    </row>
    <row r="455" spans="2:9" x14ac:dyDescent="0.2">
      <c r="B455" s="80">
        <v>3</v>
      </c>
      <c r="C455" s="19" t="s">
        <v>524</v>
      </c>
      <c r="E455" s="19" t="s">
        <v>506</v>
      </c>
      <c r="F455" s="19" t="s">
        <v>135</v>
      </c>
      <c r="G455" s="19"/>
      <c r="H455" s="114">
        <v>2300000</v>
      </c>
      <c r="I455" s="22"/>
    </row>
    <row r="456" spans="2:9" x14ac:dyDescent="0.2">
      <c r="B456" s="80">
        <v>4</v>
      </c>
      <c r="C456" s="19" t="s">
        <v>473</v>
      </c>
      <c r="E456" s="19" t="s">
        <v>507</v>
      </c>
      <c r="F456" s="19" t="s">
        <v>135</v>
      </c>
      <c r="G456" s="19"/>
      <c r="H456" s="114">
        <v>500000</v>
      </c>
      <c r="I456" s="22"/>
    </row>
    <row r="457" spans="2:9" x14ac:dyDescent="0.2">
      <c r="B457" s="80">
        <v>5</v>
      </c>
      <c r="C457" s="19" t="s">
        <v>525</v>
      </c>
      <c r="E457" s="19" t="s">
        <v>508</v>
      </c>
      <c r="F457" s="19" t="s">
        <v>135</v>
      </c>
      <c r="G457" s="19"/>
      <c r="H457" s="114">
        <v>821039</v>
      </c>
      <c r="I457" s="22"/>
    </row>
    <row r="458" spans="2:9" x14ac:dyDescent="0.2">
      <c r="B458" s="80">
        <v>6</v>
      </c>
      <c r="C458" s="19" t="s">
        <v>526</v>
      </c>
      <c r="E458" s="19" t="s">
        <v>509</v>
      </c>
      <c r="F458" s="19" t="s">
        <v>135</v>
      </c>
      <c r="G458" s="19"/>
      <c r="H458" s="114">
        <v>567000</v>
      </c>
      <c r="I458" s="22"/>
    </row>
    <row r="459" spans="2:9" x14ac:dyDescent="0.2">
      <c r="B459" s="80">
        <v>7</v>
      </c>
      <c r="C459" s="19" t="s">
        <v>527</v>
      </c>
      <c r="E459" s="19" t="s">
        <v>510</v>
      </c>
      <c r="F459" s="19" t="s">
        <v>135</v>
      </c>
      <c r="G459" s="19"/>
      <c r="H459" s="114">
        <v>2396206</v>
      </c>
      <c r="I459" s="22"/>
    </row>
    <row r="460" spans="2:9" x14ac:dyDescent="0.2">
      <c r="B460" s="80">
        <v>8</v>
      </c>
      <c r="C460" s="19" t="s">
        <v>528</v>
      </c>
      <c r="E460" s="19" t="s">
        <v>511</v>
      </c>
      <c r="F460" s="19" t="s">
        <v>135</v>
      </c>
      <c r="G460" s="19"/>
      <c r="H460" s="114">
        <v>500000</v>
      </c>
      <c r="I460" s="22"/>
    </row>
    <row r="461" spans="2:9" x14ac:dyDescent="0.2">
      <c r="B461" s="80">
        <v>9</v>
      </c>
      <c r="C461" s="19" t="s">
        <v>529</v>
      </c>
      <c r="E461" s="19" t="s">
        <v>512</v>
      </c>
      <c r="F461" s="19" t="s">
        <v>135</v>
      </c>
      <c r="G461" s="19"/>
      <c r="H461" s="114">
        <v>260000</v>
      </c>
      <c r="I461" s="22"/>
    </row>
    <row r="462" spans="2:9" x14ac:dyDescent="0.2">
      <c r="B462" s="80">
        <v>10</v>
      </c>
      <c r="C462" s="19" t="s">
        <v>530</v>
      </c>
      <c r="E462" s="19" t="s">
        <v>513</v>
      </c>
      <c r="F462" s="19" t="s">
        <v>135</v>
      </c>
      <c r="G462" s="19"/>
      <c r="H462" s="114">
        <v>425000</v>
      </c>
      <c r="I462" s="22"/>
    </row>
    <row r="463" spans="2:9" x14ac:dyDescent="0.2">
      <c r="B463" s="80">
        <v>11</v>
      </c>
      <c r="C463" s="19" t="s">
        <v>531</v>
      </c>
      <c r="E463" s="19" t="s">
        <v>514</v>
      </c>
      <c r="F463" s="19" t="s">
        <v>135</v>
      </c>
      <c r="G463" s="19"/>
      <c r="H463" s="114">
        <v>1289000</v>
      </c>
      <c r="I463" s="22"/>
    </row>
    <row r="464" spans="2:9" x14ac:dyDescent="0.2">
      <c r="B464" s="80">
        <v>12</v>
      </c>
      <c r="C464" s="19" t="s">
        <v>534</v>
      </c>
      <c r="E464" s="19" t="s">
        <v>517</v>
      </c>
      <c r="F464" s="19" t="s">
        <v>135</v>
      </c>
      <c r="G464" s="19"/>
      <c r="H464" s="114">
        <v>2970850</v>
      </c>
      <c r="I464" s="22"/>
    </row>
    <row r="465" spans="2:15" x14ac:dyDescent="0.2">
      <c r="B465" s="80">
        <v>13</v>
      </c>
      <c r="C465" s="19" t="s">
        <v>535</v>
      </c>
      <c r="E465" s="19" t="s">
        <v>518</v>
      </c>
      <c r="F465" s="19" t="s">
        <v>135</v>
      </c>
      <c r="G465" s="19"/>
      <c r="H465" s="114">
        <v>2454500</v>
      </c>
      <c r="I465" s="22"/>
      <c r="N465" s="21"/>
      <c r="O465" s="21"/>
    </row>
    <row r="466" spans="2:15" ht="16.5" x14ac:dyDescent="0.35">
      <c r="B466" s="80">
        <v>14</v>
      </c>
      <c r="C466" s="19" t="s">
        <v>540</v>
      </c>
      <c r="E466" s="19" t="s">
        <v>523</v>
      </c>
      <c r="F466" s="19" t="s">
        <v>135</v>
      </c>
      <c r="G466" s="19"/>
      <c r="H466" s="115">
        <v>4090001</v>
      </c>
      <c r="I466" s="22"/>
      <c r="N466" s="21"/>
      <c r="O466" s="21"/>
    </row>
    <row r="467" spans="2:15" x14ac:dyDescent="0.2">
      <c r="B467" s="80"/>
      <c r="C467" s="116" t="s">
        <v>139</v>
      </c>
      <c r="F467" s="19"/>
      <c r="G467" s="19"/>
      <c r="H467" s="114">
        <f>SUM(H453:H466)</f>
        <v>18604596</v>
      </c>
      <c r="I467" s="22">
        <f>I440-H467</f>
        <v>8250073</v>
      </c>
      <c r="N467" s="21"/>
      <c r="O467" s="21"/>
    </row>
    <row r="468" spans="2:15" x14ac:dyDescent="0.2">
      <c r="B468" s="80">
        <v>1</v>
      </c>
      <c r="F468" s="19" t="s">
        <v>104</v>
      </c>
      <c r="G468" s="19"/>
      <c r="H468" s="114">
        <v>0</v>
      </c>
      <c r="I468" s="22"/>
      <c r="N468" s="21"/>
      <c r="O468" s="21"/>
    </row>
    <row r="469" spans="2:15" x14ac:dyDescent="0.2">
      <c r="B469" s="80">
        <v>2</v>
      </c>
      <c r="F469" s="19" t="s">
        <v>104</v>
      </c>
      <c r="G469" s="19"/>
      <c r="H469" s="114">
        <v>0</v>
      </c>
      <c r="I469" s="22"/>
      <c r="N469" s="21"/>
      <c r="O469" s="21"/>
    </row>
    <row r="470" spans="2:15" x14ac:dyDescent="0.2">
      <c r="B470" s="80">
        <v>3</v>
      </c>
      <c r="F470" s="19" t="s">
        <v>104</v>
      </c>
      <c r="G470" s="19"/>
      <c r="H470" s="114">
        <v>0</v>
      </c>
      <c r="I470" s="22"/>
      <c r="N470" s="21"/>
      <c r="O470" s="21"/>
    </row>
    <row r="471" spans="2:15" ht="16.5" x14ac:dyDescent="0.35">
      <c r="B471" s="80">
        <v>4</v>
      </c>
      <c r="F471" s="19" t="s">
        <v>104</v>
      </c>
      <c r="G471" s="19"/>
      <c r="H471" s="115">
        <v>0</v>
      </c>
      <c r="I471" s="22"/>
      <c r="N471" s="21"/>
      <c r="O471" s="21"/>
    </row>
    <row r="472" spans="2:15" x14ac:dyDescent="0.2">
      <c r="B472" s="80"/>
      <c r="C472" s="116" t="s">
        <v>140</v>
      </c>
      <c r="F472" s="19"/>
      <c r="G472" s="19"/>
      <c r="H472" s="114">
        <f>SUM(H468:H471)</f>
        <v>0</v>
      </c>
      <c r="I472" s="22">
        <f>I441-H472</f>
        <v>693000</v>
      </c>
      <c r="N472" s="21"/>
      <c r="O472" s="21"/>
    </row>
    <row r="473" spans="2:15" x14ac:dyDescent="0.2">
      <c r="B473" s="80">
        <v>1</v>
      </c>
      <c r="C473" s="19" t="s">
        <v>537</v>
      </c>
      <c r="E473" s="19" t="s">
        <v>520</v>
      </c>
      <c r="F473" s="19" t="s">
        <v>34</v>
      </c>
      <c r="G473" s="19"/>
      <c r="H473" s="114">
        <v>20000000</v>
      </c>
      <c r="I473" s="22"/>
      <c r="N473" s="21"/>
      <c r="O473" s="21"/>
    </row>
    <row r="474" spans="2:15" x14ac:dyDescent="0.2">
      <c r="B474" s="80">
        <v>2</v>
      </c>
      <c r="C474" s="19" t="s">
        <v>538</v>
      </c>
      <c r="E474" s="19" t="s">
        <v>521</v>
      </c>
      <c r="F474" s="19" t="s">
        <v>34</v>
      </c>
      <c r="G474" s="19"/>
      <c r="H474" s="114">
        <v>21910250</v>
      </c>
      <c r="I474" s="22"/>
      <c r="N474" s="21"/>
      <c r="O474" s="21"/>
    </row>
    <row r="475" spans="2:15" x14ac:dyDescent="0.2">
      <c r="B475" s="80">
        <v>3</v>
      </c>
      <c r="F475" s="19" t="s">
        <v>34</v>
      </c>
      <c r="G475" s="19"/>
      <c r="H475" s="114">
        <v>0</v>
      </c>
      <c r="I475" s="22"/>
      <c r="N475" s="21"/>
      <c r="O475" s="21"/>
    </row>
    <row r="476" spans="2:15" ht="16.5" x14ac:dyDescent="0.35">
      <c r="B476" s="80">
        <v>4</v>
      </c>
      <c r="F476" s="19" t="s">
        <v>34</v>
      </c>
      <c r="G476" s="19"/>
      <c r="H476" s="115">
        <v>0</v>
      </c>
      <c r="I476" s="22"/>
      <c r="N476" s="21"/>
      <c r="O476" s="21"/>
    </row>
    <row r="477" spans="2:15" x14ac:dyDescent="0.2">
      <c r="B477" s="80"/>
      <c r="C477" s="116" t="s">
        <v>141</v>
      </c>
      <c r="F477" s="19"/>
      <c r="G477" s="19"/>
      <c r="H477" s="114">
        <f>SUM(H473:H476)</f>
        <v>41910250</v>
      </c>
      <c r="I477" s="22">
        <f>I442-H477</f>
        <v>17685562</v>
      </c>
      <c r="N477" s="21"/>
      <c r="O477" s="21"/>
    </row>
    <row r="478" spans="2:15" x14ac:dyDescent="0.2">
      <c r="B478" s="80">
        <v>1</v>
      </c>
      <c r="C478" s="19" t="s">
        <v>532</v>
      </c>
      <c r="E478" s="19" t="s">
        <v>515</v>
      </c>
      <c r="F478" s="19" t="s">
        <v>105</v>
      </c>
      <c r="G478" s="19"/>
      <c r="H478" s="114">
        <v>900000</v>
      </c>
      <c r="I478" s="22"/>
      <c r="N478" s="21"/>
      <c r="O478" s="21"/>
    </row>
    <row r="479" spans="2:15" x14ac:dyDescent="0.2">
      <c r="B479" s="80">
        <v>2</v>
      </c>
      <c r="F479" s="19" t="s">
        <v>105</v>
      </c>
      <c r="G479" s="19"/>
      <c r="H479" s="114">
        <v>0</v>
      </c>
      <c r="I479" s="22"/>
      <c r="N479" s="21"/>
      <c r="O479" s="21"/>
    </row>
    <row r="480" spans="2:15" x14ac:dyDescent="0.2">
      <c r="B480" s="80">
        <v>3</v>
      </c>
      <c r="F480" s="19" t="s">
        <v>105</v>
      </c>
      <c r="G480" s="19"/>
      <c r="H480" s="114">
        <v>0</v>
      </c>
      <c r="I480" s="22"/>
      <c r="N480" s="21"/>
      <c r="O480" s="21"/>
    </row>
    <row r="481" spans="2:15" ht="16.5" x14ac:dyDescent="0.35">
      <c r="B481" s="80">
        <v>4</v>
      </c>
      <c r="F481" s="19" t="s">
        <v>105</v>
      </c>
      <c r="G481" s="19"/>
      <c r="H481" s="115">
        <v>0</v>
      </c>
      <c r="I481" s="22"/>
      <c r="N481" s="21"/>
      <c r="O481" s="21"/>
    </row>
    <row r="482" spans="2:15" x14ac:dyDescent="0.2">
      <c r="B482" s="80"/>
      <c r="C482" s="116" t="s">
        <v>142</v>
      </c>
      <c r="F482" s="19"/>
      <c r="G482" s="19"/>
      <c r="H482" s="114">
        <f>SUM(H478:H481)</f>
        <v>900000</v>
      </c>
      <c r="I482" s="22">
        <f>I443-H482</f>
        <v>958000</v>
      </c>
      <c r="N482" s="21"/>
      <c r="O482" s="21"/>
    </row>
    <row r="483" spans="2:15" x14ac:dyDescent="0.2">
      <c r="B483" s="80">
        <v>1</v>
      </c>
      <c r="C483" s="19" t="s">
        <v>533</v>
      </c>
      <c r="E483" s="19" t="s">
        <v>516</v>
      </c>
      <c r="F483" s="19" t="s">
        <v>143</v>
      </c>
      <c r="G483" s="19"/>
      <c r="H483" s="114">
        <v>1116000</v>
      </c>
      <c r="I483" s="22"/>
      <c r="N483" s="21"/>
      <c r="O483" s="21"/>
    </row>
    <row r="484" spans="2:15" x14ac:dyDescent="0.2">
      <c r="B484" s="80">
        <v>2</v>
      </c>
      <c r="C484" s="19" t="s">
        <v>536</v>
      </c>
      <c r="E484" s="19" t="s">
        <v>519</v>
      </c>
      <c r="F484" s="19" t="s">
        <v>143</v>
      </c>
      <c r="G484" s="19"/>
      <c r="H484" s="114">
        <v>1000000</v>
      </c>
      <c r="I484" s="22"/>
      <c r="N484" s="21"/>
      <c r="O484" s="21"/>
    </row>
    <row r="485" spans="2:15" x14ac:dyDescent="0.2">
      <c r="B485" s="80">
        <v>3</v>
      </c>
      <c r="C485" s="19" t="s">
        <v>539</v>
      </c>
      <c r="E485" s="19" t="s">
        <v>522</v>
      </c>
      <c r="F485" s="19" t="s">
        <v>143</v>
      </c>
      <c r="G485" s="19"/>
      <c r="H485" s="114">
        <v>1500000</v>
      </c>
      <c r="I485" s="22"/>
      <c r="N485" s="21"/>
      <c r="O485" s="21"/>
    </row>
    <row r="486" spans="2:15" ht="16.5" x14ac:dyDescent="0.35">
      <c r="B486" s="80">
        <v>4</v>
      </c>
      <c r="F486" s="19" t="s">
        <v>143</v>
      </c>
      <c r="G486" s="19"/>
      <c r="H486" s="115">
        <v>0</v>
      </c>
      <c r="I486" s="22"/>
      <c r="N486" s="21"/>
      <c r="O486" s="21"/>
    </row>
    <row r="487" spans="2:15" x14ac:dyDescent="0.2">
      <c r="B487" s="80"/>
      <c r="C487" s="116" t="s">
        <v>144</v>
      </c>
      <c r="F487" s="19"/>
      <c r="G487" s="19"/>
      <c r="H487" s="114">
        <f>SUM(H483:H486)</f>
        <v>3616000</v>
      </c>
      <c r="I487" s="22">
        <f>I444-H487</f>
        <v>11043720</v>
      </c>
      <c r="N487" s="21"/>
      <c r="O487" s="21"/>
    </row>
    <row r="488" spans="2:15" x14ac:dyDescent="0.2">
      <c r="B488" s="20"/>
      <c r="I488" s="22"/>
    </row>
    <row r="489" spans="2:15" ht="15" thickBot="1" x14ac:dyDescent="0.25">
      <c r="B489" s="20"/>
      <c r="C489" s="19" t="s">
        <v>27</v>
      </c>
      <c r="H489" s="117">
        <f>H467+H472+H477+H482+H487</f>
        <v>65030846</v>
      </c>
      <c r="I489" s="81"/>
    </row>
    <row r="490" spans="2:15" x14ac:dyDescent="0.2">
      <c r="B490" s="20"/>
      <c r="I490" s="22"/>
    </row>
    <row r="491" spans="2:15" ht="15" x14ac:dyDescent="0.25">
      <c r="B491" s="20"/>
      <c r="C491" s="19" t="s">
        <v>28</v>
      </c>
      <c r="H491" s="19"/>
      <c r="I491" s="82">
        <f>I446-H489</f>
        <v>38630355</v>
      </c>
    </row>
    <row r="492" spans="2:15" x14ac:dyDescent="0.2">
      <c r="B492" s="24"/>
      <c r="C492" s="25"/>
      <c r="D492" s="25"/>
      <c r="E492" s="25"/>
      <c r="F492" s="23"/>
      <c r="G492" s="23"/>
      <c r="H492" s="23"/>
      <c r="I492" s="37"/>
    </row>
    <row r="496" spans="2:15" ht="28.9" customHeight="1" thickBot="1" x14ac:dyDescent="0.25">
      <c r="B496" s="192" t="str">
        <f>B16</f>
        <v>KIWI</v>
      </c>
      <c r="C496" s="193"/>
      <c r="D496" s="193"/>
      <c r="E496" s="193"/>
      <c r="F496" s="193"/>
      <c r="G496" s="193"/>
      <c r="H496" s="193"/>
      <c r="I496" s="193"/>
    </row>
    <row r="497" spans="2:9" ht="21.75" x14ac:dyDescent="0.2">
      <c r="B497" s="194" t="s">
        <v>21</v>
      </c>
      <c r="C497" s="194"/>
      <c r="D497" s="194"/>
      <c r="E497" s="194"/>
      <c r="F497" s="194"/>
      <c r="G497" s="194"/>
      <c r="H497" s="194"/>
      <c r="I497" s="195"/>
    </row>
    <row r="498" spans="2:9" ht="21.75" x14ac:dyDescent="0.2">
      <c r="B498" s="186" t="s">
        <v>189</v>
      </c>
      <c r="C498" s="186"/>
      <c r="D498" s="186"/>
      <c r="E498" s="186"/>
      <c r="F498" s="186"/>
      <c r="G498" s="186"/>
      <c r="H498" s="186"/>
      <c r="I498" s="196"/>
    </row>
    <row r="500" spans="2:9" ht="21.75" x14ac:dyDescent="0.2">
      <c r="B500" s="105"/>
      <c r="C500" s="106" t="s">
        <v>22</v>
      </c>
      <c r="D500" s="106"/>
      <c r="E500" s="106"/>
      <c r="F500" s="106"/>
      <c r="G500" s="106"/>
      <c r="H500" s="106"/>
      <c r="I500" s="107"/>
    </row>
    <row r="501" spans="2:9" x14ac:dyDescent="0.2">
      <c r="B501" s="20"/>
      <c r="I501" s="22"/>
    </row>
    <row r="502" spans="2:9" ht="21.75" x14ac:dyDescent="0.2">
      <c r="B502" s="108"/>
      <c r="C502" s="102" t="s">
        <v>63</v>
      </c>
      <c r="D502" s="100"/>
      <c r="E502" s="100"/>
      <c r="F502" s="101" t="s">
        <v>115</v>
      </c>
      <c r="G502" s="101"/>
      <c r="H502" s="101" t="s">
        <v>116</v>
      </c>
      <c r="I502" s="109" t="s">
        <v>17</v>
      </c>
    </row>
    <row r="503" spans="2:9" x14ac:dyDescent="0.2">
      <c r="B503" s="20"/>
      <c r="I503" s="22"/>
    </row>
    <row r="504" spans="2:9" x14ac:dyDescent="0.2">
      <c r="B504" s="20"/>
      <c r="C504" s="19" t="s">
        <v>23</v>
      </c>
      <c r="H504" s="21">
        <f>'Rec.Data System-IN'!R23</f>
        <v>1910893</v>
      </c>
      <c r="I504" s="22">
        <f t="shared" ref="I504:I510" si="7">F504+H504</f>
        <v>1910893</v>
      </c>
    </row>
    <row r="505" spans="2:9" x14ac:dyDescent="0.2">
      <c r="B505" s="20"/>
      <c r="C505" s="19" t="s">
        <v>24</v>
      </c>
      <c r="H505" s="110">
        <f>'Rec.Data System-IN'!S23</f>
        <v>11439387</v>
      </c>
      <c r="I505" s="22">
        <f t="shared" si="7"/>
        <v>11439387</v>
      </c>
    </row>
    <row r="506" spans="2:9" ht="25.5" customHeight="1" x14ac:dyDescent="0.2">
      <c r="B506" s="20"/>
      <c r="C506" s="7" t="s">
        <v>81</v>
      </c>
      <c r="F506" s="21">
        <f>I467</f>
        <v>8250073</v>
      </c>
      <c r="H506" s="21">
        <f>SUM(H504:H505)</f>
        <v>13350280</v>
      </c>
      <c r="I506" s="22">
        <f t="shared" si="7"/>
        <v>21600353</v>
      </c>
    </row>
    <row r="507" spans="2:9" x14ac:dyDescent="0.2">
      <c r="B507" s="20"/>
      <c r="C507" s="19" t="s">
        <v>104</v>
      </c>
      <c r="F507" s="21">
        <f>I472</f>
        <v>693000</v>
      </c>
      <c r="H507" s="21">
        <f>'Rec.Data System-IN'!T23</f>
        <v>0</v>
      </c>
      <c r="I507" s="22">
        <f t="shared" si="7"/>
        <v>693000</v>
      </c>
    </row>
    <row r="508" spans="2:9" x14ac:dyDescent="0.2">
      <c r="B508" s="20"/>
      <c r="C508" s="19" t="s">
        <v>34</v>
      </c>
      <c r="F508" s="21">
        <f>I477</f>
        <v>17685562</v>
      </c>
      <c r="H508" s="21">
        <f>'Rec.Data System-IN'!U23</f>
        <v>32181077</v>
      </c>
      <c r="I508" s="22">
        <f t="shared" si="7"/>
        <v>49866639</v>
      </c>
    </row>
    <row r="509" spans="2:9" x14ac:dyDescent="0.2">
      <c r="B509" s="20"/>
      <c r="C509" s="19" t="s">
        <v>105</v>
      </c>
      <c r="F509" s="21">
        <f>I482</f>
        <v>958000</v>
      </c>
      <c r="H509" s="21">
        <f>'Rec.Data System-IN'!V23</f>
        <v>859000</v>
      </c>
      <c r="I509" s="22">
        <f t="shared" si="7"/>
        <v>1817000</v>
      </c>
    </row>
    <row r="510" spans="2:9" x14ac:dyDescent="0.2">
      <c r="B510" s="20"/>
      <c r="C510" s="19" t="s">
        <v>106</v>
      </c>
      <c r="F510" s="110">
        <f>I487</f>
        <v>11043720</v>
      </c>
      <c r="H510" s="21">
        <f>'Rec.Data System-IN'!W23</f>
        <v>46114923</v>
      </c>
      <c r="I510" s="22">
        <f t="shared" si="7"/>
        <v>57158643</v>
      </c>
    </row>
    <row r="511" spans="2:9" x14ac:dyDescent="0.2">
      <c r="B511" s="20"/>
      <c r="I511" s="22"/>
    </row>
    <row r="512" spans="2:9" ht="15.75" thickBot="1" x14ac:dyDescent="0.3">
      <c r="B512" s="20"/>
      <c r="C512" s="19" t="s">
        <v>25</v>
      </c>
      <c r="I512" s="83">
        <f>SUM(I506:I510)</f>
        <v>131135635</v>
      </c>
    </row>
    <row r="513" spans="2:9" ht="15" thickTop="1" x14ac:dyDescent="0.2">
      <c r="B513" s="20"/>
      <c r="I513" s="22"/>
    </row>
    <row r="514" spans="2:9" ht="21.75" x14ac:dyDescent="0.2">
      <c r="B514" s="111"/>
      <c r="C514" s="103" t="s">
        <v>26</v>
      </c>
      <c r="D514" s="103"/>
      <c r="E514" s="103"/>
      <c r="F514" s="103"/>
      <c r="G514" s="103"/>
      <c r="H514" s="103"/>
      <c r="I514" s="112"/>
    </row>
    <row r="515" spans="2:9" x14ac:dyDescent="0.2">
      <c r="B515" s="20"/>
      <c r="F515" s="19"/>
      <c r="H515" s="19"/>
      <c r="I515" s="22"/>
    </row>
    <row r="516" spans="2:9" ht="21.75" x14ac:dyDescent="0.2">
      <c r="B516" s="108"/>
      <c r="C516" s="102" t="s">
        <v>65</v>
      </c>
      <c r="D516" s="100"/>
      <c r="E516" s="102" t="s">
        <v>145</v>
      </c>
      <c r="F516" s="104" t="s">
        <v>114</v>
      </c>
      <c r="G516" s="101"/>
      <c r="H516" s="101"/>
      <c r="I516" s="109"/>
    </row>
    <row r="517" spans="2:9" x14ac:dyDescent="0.2">
      <c r="B517" s="80"/>
      <c r="F517" s="19" t="s">
        <v>113</v>
      </c>
      <c r="H517" s="113"/>
      <c r="I517" s="22"/>
    </row>
    <row r="518" spans="2:9" x14ac:dyDescent="0.2">
      <c r="B518" s="80"/>
      <c r="F518" s="19"/>
      <c r="H518" s="113"/>
      <c r="I518" s="22"/>
    </row>
    <row r="519" spans="2:9" x14ac:dyDescent="0.2">
      <c r="B519" s="80">
        <v>1</v>
      </c>
      <c r="C519" s="19" t="s">
        <v>563</v>
      </c>
      <c r="E519" s="19" t="s">
        <v>544</v>
      </c>
      <c r="F519" s="19" t="s">
        <v>135</v>
      </c>
      <c r="G519" s="19"/>
      <c r="H519" s="114">
        <v>23950</v>
      </c>
      <c r="I519" s="22"/>
    </row>
    <row r="520" spans="2:9" x14ac:dyDescent="0.2">
      <c r="B520" s="80">
        <v>2</v>
      </c>
      <c r="C520" s="19" t="s">
        <v>564</v>
      </c>
      <c r="E520" s="19" t="s">
        <v>545</v>
      </c>
      <c r="F520" s="19" t="s">
        <v>135</v>
      </c>
      <c r="G520" s="19"/>
      <c r="H520" s="114">
        <v>26000</v>
      </c>
      <c r="I520" s="22"/>
    </row>
    <row r="521" spans="2:9" x14ac:dyDescent="0.2">
      <c r="B521" s="80">
        <v>3</v>
      </c>
      <c r="C521" s="19" t="s">
        <v>565</v>
      </c>
      <c r="E521" s="19" t="s">
        <v>546</v>
      </c>
      <c r="F521" s="19" t="s">
        <v>135</v>
      </c>
      <c r="G521" s="19"/>
      <c r="H521" s="114">
        <v>2300000</v>
      </c>
      <c r="I521" s="22"/>
    </row>
    <row r="522" spans="2:9" x14ac:dyDescent="0.2">
      <c r="B522" s="80">
        <v>4</v>
      </c>
      <c r="C522" s="19" t="s">
        <v>566</v>
      </c>
      <c r="E522" s="19" t="s">
        <v>547</v>
      </c>
      <c r="F522" s="19" t="s">
        <v>135</v>
      </c>
      <c r="G522" s="19"/>
      <c r="H522" s="114">
        <v>200000</v>
      </c>
      <c r="I522" s="22"/>
    </row>
    <row r="523" spans="2:9" x14ac:dyDescent="0.2">
      <c r="B523" s="80">
        <v>5</v>
      </c>
      <c r="C523" s="19" t="s">
        <v>567</v>
      </c>
      <c r="E523" s="19" t="s">
        <v>548</v>
      </c>
      <c r="F523" s="19" t="s">
        <v>135</v>
      </c>
      <c r="G523" s="19"/>
      <c r="H523" s="114">
        <v>510000</v>
      </c>
      <c r="I523" s="22"/>
    </row>
    <row r="524" spans="2:9" x14ac:dyDescent="0.2">
      <c r="B524" s="80">
        <v>6</v>
      </c>
      <c r="C524" s="19" t="s">
        <v>569</v>
      </c>
      <c r="E524" s="19" t="s">
        <v>550</v>
      </c>
      <c r="F524" s="19" t="s">
        <v>135</v>
      </c>
      <c r="G524" s="19"/>
      <c r="H524" s="114">
        <v>200000</v>
      </c>
      <c r="I524" s="22"/>
    </row>
    <row r="525" spans="2:9" x14ac:dyDescent="0.2">
      <c r="B525" s="80">
        <v>7</v>
      </c>
      <c r="C525" s="19" t="s">
        <v>570</v>
      </c>
      <c r="E525" s="19" t="s">
        <v>551</v>
      </c>
      <c r="F525" s="19" t="s">
        <v>135</v>
      </c>
      <c r="G525" s="19"/>
      <c r="H525" s="114">
        <v>1907877</v>
      </c>
      <c r="I525" s="22"/>
    </row>
    <row r="526" spans="2:9" x14ac:dyDescent="0.2">
      <c r="B526" s="80">
        <v>8</v>
      </c>
      <c r="C526" s="19" t="s">
        <v>571</v>
      </c>
      <c r="E526" s="19" t="s">
        <v>552</v>
      </c>
      <c r="F526" s="19" t="s">
        <v>135</v>
      </c>
      <c r="G526" s="19"/>
      <c r="H526" s="114">
        <v>1000000</v>
      </c>
      <c r="I526" s="22"/>
    </row>
    <row r="527" spans="2:9" x14ac:dyDescent="0.2">
      <c r="B527" s="80">
        <v>9</v>
      </c>
      <c r="C527" s="19" t="s">
        <v>572</v>
      </c>
      <c r="E527" s="19" t="s">
        <v>553</v>
      </c>
      <c r="F527" s="19" t="s">
        <v>135</v>
      </c>
      <c r="G527" s="19"/>
      <c r="H527" s="114">
        <v>1750000</v>
      </c>
      <c r="I527" s="22"/>
    </row>
    <row r="528" spans="2:9" x14ac:dyDescent="0.2">
      <c r="B528" s="80">
        <v>10</v>
      </c>
      <c r="C528" s="19" t="s">
        <v>573</v>
      </c>
      <c r="E528" s="19" t="s">
        <v>554</v>
      </c>
      <c r="F528" s="19" t="s">
        <v>135</v>
      </c>
      <c r="G528" s="19"/>
      <c r="H528" s="114">
        <v>700000</v>
      </c>
      <c r="I528" s="22"/>
    </row>
    <row r="529" spans="2:15" x14ac:dyDescent="0.2">
      <c r="B529" s="80">
        <v>11</v>
      </c>
      <c r="C529" s="19" t="s">
        <v>574</v>
      </c>
      <c r="E529" s="19" t="s">
        <v>555</v>
      </c>
      <c r="F529" s="19" t="s">
        <v>135</v>
      </c>
      <c r="G529" s="19"/>
      <c r="H529" s="114">
        <v>500000</v>
      </c>
      <c r="I529" s="22"/>
    </row>
    <row r="530" spans="2:15" x14ac:dyDescent="0.2">
      <c r="B530" s="80">
        <v>12</v>
      </c>
      <c r="C530" s="19" t="s">
        <v>575</v>
      </c>
      <c r="E530" s="19" t="s">
        <v>556</v>
      </c>
      <c r="F530" s="19" t="s">
        <v>135</v>
      </c>
      <c r="G530" s="19"/>
      <c r="H530" s="114">
        <v>300000</v>
      </c>
      <c r="I530" s="22"/>
    </row>
    <row r="531" spans="2:15" x14ac:dyDescent="0.2">
      <c r="B531" s="80">
        <v>13</v>
      </c>
      <c r="C531" s="19" t="s">
        <v>576</v>
      </c>
      <c r="E531" s="19" t="s">
        <v>557</v>
      </c>
      <c r="F531" s="19" t="s">
        <v>135</v>
      </c>
      <c r="G531" s="19"/>
      <c r="H531" s="114">
        <v>300000</v>
      </c>
      <c r="I531" s="22"/>
    </row>
    <row r="532" spans="2:15" x14ac:dyDescent="0.2">
      <c r="B532" s="80">
        <v>14</v>
      </c>
      <c r="C532" s="19" t="s">
        <v>577</v>
      </c>
      <c r="E532" s="19" t="s">
        <v>558</v>
      </c>
      <c r="F532" s="19" t="s">
        <v>135</v>
      </c>
      <c r="G532" s="19"/>
      <c r="H532" s="114">
        <v>410000</v>
      </c>
      <c r="I532" s="22"/>
    </row>
    <row r="533" spans="2:15" x14ac:dyDescent="0.2">
      <c r="B533" s="80">
        <v>15</v>
      </c>
      <c r="C533" s="19" t="s">
        <v>578</v>
      </c>
      <c r="E533" s="19" t="s">
        <v>559</v>
      </c>
      <c r="F533" s="19" t="s">
        <v>135</v>
      </c>
      <c r="G533" s="19"/>
      <c r="H533" s="114">
        <v>1000000</v>
      </c>
      <c r="I533" s="22"/>
    </row>
    <row r="534" spans="2:15" x14ac:dyDescent="0.2">
      <c r="B534" s="80">
        <v>16</v>
      </c>
      <c r="C534" s="19" t="s">
        <v>579</v>
      </c>
      <c r="E534" s="19" t="s">
        <v>560</v>
      </c>
      <c r="F534" s="19" t="s">
        <v>135</v>
      </c>
      <c r="G534" s="19"/>
      <c r="H534" s="114">
        <v>1305000</v>
      </c>
      <c r="I534" s="22"/>
    </row>
    <row r="535" spans="2:15" x14ac:dyDescent="0.2">
      <c r="B535" s="80">
        <v>17</v>
      </c>
      <c r="C535" s="19" t="s">
        <v>580</v>
      </c>
      <c r="E535" s="19" t="s">
        <v>561</v>
      </c>
      <c r="F535" s="19" t="s">
        <v>135</v>
      </c>
      <c r="G535" s="19"/>
      <c r="H535" s="114">
        <v>500000</v>
      </c>
      <c r="I535" s="22"/>
    </row>
    <row r="536" spans="2:15" x14ac:dyDescent="0.2">
      <c r="B536" s="80">
        <v>18</v>
      </c>
      <c r="C536" s="19" t="s">
        <v>591</v>
      </c>
      <c r="E536" s="19" t="s">
        <v>585</v>
      </c>
      <c r="F536" s="19" t="s">
        <v>135</v>
      </c>
      <c r="G536" s="19"/>
      <c r="H536" s="114">
        <v>900000</v>
      </c>
      <c r="I536" s="22"/>
      <c r="N536" s="21"/>
      <c r="O536" s="21"/>
    </row>
    <row r="537" spans="2:15" ht="16.5" x14ac:dyDescent="0.35">
      <c r="B537" s="80">
        <v>19</v>
      </c>
      <c r="C537" s="19" t="s">
        <v>594</v>
      </c>
      <c r="E537" s="19" t="s">
        <v>588</v>
      </c>
      <c r="F537" s="19" t="s">
        <v>135</v>
      </c>
      <c r="G537" s="19"/>
      <c r="H537" s="115">
        <v>1000000</v>
      </c>
      <c r="I537" s="22"/>
      <c r="N537" s="21"/>
      <c r="O537" s="21"/>
    </row>
    <row r="538" spans="2:15" x14ac:dyDescent="0.2">
      <c r="B538" s="80"/>
      <c r="C538" s="116" t="s">
        <v>139</v>
      </c>
      <c r="F538" s="19"/>
      <c r="G538" s="19"/>
      <c r="H538" s="114">
        <f>SUM(H519:H537)</f>
        <v>14832827</v>
      </c>
      <c r="I538" s="22">
        <f>I506-H538</f>
        <v>6767526</v>
      </c>
      <c r="N538" s="21"/>
      <c r="O538" s="21"/>
    </row>
    <row r="539" spans="2:15" x14ac:dyDescent="0.2">
      <c r="B539" s="80">
        <v>1</v>
      </c>
      <c r="F539" s="19" t="s">
        <v>104</v>
      </c>
      <c r="G539" s="19"/>
      <c r="H539" s="114">
        <v>0</v>
      </c>
      <c r="I539" s="22"/>
      <c r="N539" s="21"/>
      <c r="O539" s="21"/>
    </row>
    <row r="540" spans="2:15" x14ac:dyDescent="0.2">
      <c r="B540" s="80">
        <v>2</v>
      </c>
      <c r="F540" s="19" t="s">
        <v>104</v>
      </c>
      <c r="G540" s="19"/>
      <c r="H540" s="114">
        <v>0</v>
      </c>
      <c r="I540" s="22"/>
      <c r="N540" s="21"/>
      <c r="O540" s="21"/>
    </row>
    <row r="541" spans="2:15" x14ac:dyDescent="0.2">
      <c r="B541" s="80">
        <v>3</v>
      </c>
      <c r="F541" s="19" t="s">
        <v>104</v>
      </c>
      <c r="G541" s="19"/>
      <c r="H541" s="114">
        <v>0</v>
      </c>
      <c r="I541" s="22"/>
      <c r="N541" s="21"/>
      <c r="O541" s="21"/>
    </row>
    <row r="542" spans="2:15" ht="16.5" x14ac:dyDescent="0.35">
      <c r="B542" s="80">
        <v>4</v>
      </c>
      <c r="F542" s="19" t="s">
        <v>104</v>
      </c>
      <c r="G542" s="19"/>
      <c r="H542" s="115">
        <v>0</v>
      </c>
      <c r="I542" s="22"/>
      <c r="N542" s="21"/>
      <c r="O542" s="21"/>
    </row>
    <row r="543" spans="2:15" x14ac:dyDescent="0.2">
      <c r="B543" s="80"/>
      <c r="C543" s="116" t="s">
        <v>140</v>
      </c>
      <c r="F543" s="19"/>
      <c r="G543" s="19"/>
      <c r="H543" s="114">
        <f>SUM(H539:H542)</f>
        <v>0</v>
      </c>
      <c r="I543" s="22">
        <f>I507-H543</f>
        <v>693000</v>
      </c>
      <c r="N543" s="21"/>
      <c r="O543" s="21"/>
    </row>
    <row r="544" spans="2:15" x14ac:dyDescent="0.2">
      <c r="B544" s="80">
        <v>1</v>
      </c>
      <c r="C544" s="19" t="s">
        <v>581</v>
      </c>
      <c r="E544" s="19" t="s">
        <v>562</v>
      </c>
      <c r="F544" s="19" t="s">
        <v>34</v>
      </c>
      <c r="G544" s="19"/>
      <c r="H544" s="114">
        <v>7179000</v>
      </c>
      <c r="I544" s="22"/>
      <c r="N544" s="21"/>
      <c r="O544" s="21"/>
    </row>
    <row r="545" spans="2:15" x14ac:dyDescent="0.2">
      <c r="B545" s="80">
        <v>2</v>
      </c>
      <c r="C545" s="19" t="s">
        <v>583</v>
      </c>
      <c r="E545" s="19" t="s">
        <v>582</v>
      </c>
      <c r="F545" s="19" t="s">
        <v>34</v>
      </c>
      <c r="G545" s="19"/>
      <c r="H545" s="114">
        <v>6546000</v>
      </c>
      <c r="I545" s="22"/>
      <c r="N545" s="21"/>
      <c r="O545" s="21"/>
    </row>
    <row r="546" spans="2:15" x14ac:dyDescent="0.2">
      <c r="B546" s="80">
        <v>3</v>
      </c>
      <c r="C546" s="19" t="s">
        <v>595</v>
      </c>
      <c r="E546" s="19" t="s">
        <v>589</v>
      </c>
      <c r="F546" s="19" t="s">
        <v>34</v>
      </c>
      <c r="G546" s="19"/>
      <c r="H546" s="114">
        <v>10955125</v>
      </c>
      <c r="I546" s="22"/>
      <c r="N546" s="21"/>
      <c r="O546" s="21"/>
    </row>
    <row r="547" spans="2:15" ht="16.5" x14ac:dyDescent="0.35">
      <c r="B547" s="80">
        <v>4</v>
      </c>
      <c r="F547" s="19" t="s">
        <v>34</v>
      </c>
      <c r="G547" s="19"/>
      <c r="H547" s="115">
        <v>0</v>
      </c>
      <c r="I547" s="22"/>
      <c r="N547" s="21"/>
      <c r="O547" s="21"/>
    </row>
    <row r="548" spans="2:15" x14ac:dyDescent="0.2">
      <c r="B548" s="80"/>
      <c r="C548" s="116" t="s">
        <v>141</v>
      </c>
      <c r="F548" s="19"/>
      <c r="G548" s="19"/>
      <c r="H548" s="114">
        <f>SUM(H544:H547)</f>
        <v>24680125</v>
      </c>
      <c r="I548" s="22">
        <f>I508-H548</f>
        <v>25186514</v>
      </c>
      <c r="N548" s="21"/>
      <c r="O548" s="21"/>
    </row>
    <row r="549" spans="2:15" x14ac:dyDescent="0.2">
      <c r="B549" s="80">
        <v>1</v>
      </c>
      <c r="C549" s="19" t="s">
        <v>592</v>
      </c>
      <c r="E549" s="19" t="s">
        <v>586</v>
      </c>
      <c r="F549" s="19" t="s">
        <v>105</v>
      </c>
      <c r="G549" s="19"/>
      <c r="H549" s="114">
        <v>900000</v>
      </c>
      <c r="I549" s="22"/>
      <c r="N549" s="21"/>
      <c r="O549" s="21"/>
    </row>
    <row r="550" spans="2:15" x14ac:dyDescent="0.2">
      <c r="B550" s="80">
        <v>2</v>
      </c>
      <c r="C550" s="19" t="s">
        <v>593</v>
      </c>
      <c r="E550" s="19" t="s">
        <v>587</v>
      </c>
      <c r="F550" s="19" t="s">
        <v>105</v>
      </c>
      <c r="G550" s="19"/>
      <c r="H550" s="114">
        <v>450000</v>
      </c>
      <c r="I550" s="22"/>
      <c r="N550" s="21"/>
      <c r="O550" s="21"/>
    </row>
    <row r="551" spans="2:15" x14ac:dyDescent="0.2">
      <c r="B551" s="80">
        <v>3</v>
      </c>
      <c r="F551" s="19" t="s">
        <v>105</v>
      </c>
      <c r="G551" s="19"/>
      <c r="H551" s="114">
        <v>0</v>
      </c>
      <c r="I551" s="22"/>
      <c r="N551" s="21"/>
      <c r="O551" s="21"/>
    </row>
    <row r="552" spans="2:15" ht="16.5" x14ac:dyDescent="0.35">
      <c r="B552" s="80">
        <v>4</v>
      </c>
      <c r="F552" s="19" t="s">
        <v>105</v>
      </c>
      <c r="G552" s="19"/>
      <c r="H552" s="115">
        <v>0</v>
      </c>
      <c r="I552" s="22"/>
      <c r="N552" s="21"/>
      <c r="O552" s="21"/>
    </row>
    <row r="553" spans="2:15" x14ac:dyDescent="0.2">
      <c r="B553" s="80"/>
      <c r="C553" s="116" t="s">
        <v>142</v>
      </c>
      <c r="F553" s="19"/>
      <c r="G553" s="19"/>
      <c r="H553" s="114">
        <f>SUM(H549:H552)</f>
        <v>1350000</v>
      </c>
      <c r="I553" s="22">
        <f>I509-H553</f>
        <v>467000</v>
      </c>
      <c r="N553" s="21"/>
      <c r="O553" s="21"/>
    </row>
    <row r="554" spans="2:15" x14ac:dyDescent="0.2">
      <c r="B554" s="80">
        <v>1</v>
      </c>
      <c r="C554" s="19" t="s">
        <v>568</v>
      </c>
      <c r="E554" s="19" t="s">
        <v>549</v>
      </c>
      <c r="F554" s="19" t="s">
        <v>143</v>
      </c>
      <c r="G554" s="19"/>
      <c r="H554" s="114">
        <v>250000</v>
      </c>
      <c r="I554" s="22"/>
      <c r="N554" s="21"/>
      <c r="O554" s="21"/>
    </row>
    <row r="555" spans="2:15" x14ac:dyDescent="0.2">
      <c r="B555" s="80">
        <v>2</v>
      </c>
      <c r="C555" s="19" t="s">
        <v>590</v>
      </c>
      <c r="E555" s="19" t="s">
        <v>584</v>
      </c>
      <c r="F555" s="19" t="s">
        <v>143</v>
      </c>
      <c r="G555" s="19"/>
      <c r="H555" s="114">
        <v>2500000</v>
      </c>
      <c r="I555" s="22"/>
      <c r="N555" s="21"/>
      <c r="O555" s="21"/>
    </row>
    <row r="556" spans="2:15" x14ac:dyDescent="0.2">
      <c r="B556" s="80">
        <v>3</v>
      </c>
      <c r="F556" s="19" t="s">
        <v>143</v>
      </c>
      <c r="G556" s="19"/>
      <c r="H556" s="114">
        <v>0</v>
      </c>
      <c r="I556" s="22"/>
      <c r="N556" s="21"/>
      <c r="O556" s="21"/>
    </row>
    <row r="557" spans="2:15" ht="16.5" x14ac:dyDescent="0.35">
      <c r="B557" s="80">
        <v>4</v>
      </c>
      <c r="F557" s="19" t="s">
        <v>143</v>
      </c>
      <c r="G557" s="19"/>
      <c r="H557" s="115">
        <v>0</v>
      </c>
      <c r="I557" s="22"/>
      <c r="N557" s="21"/>
      <c r="O557" s="21"/>
    </row>
    <row r="558" spans="2:15" x14ac:dyDescent="0.2">
      <c r="B558" s="80"/>
      <c r="C558" s="116" t="s">
        <v>144</v>
      </c>
      <c r="F558" s="19"/>
      <c r="G558" s="19"/>
      <c r="H558" s="114">
        <f>SUM(H554:H557)</f>
        <v>2750000</v>
      </c>
      <c r="I558" s="22">
        <f>I510-H558</f>
        <v>54408643</v>
      </c>
      <c r="N558" s="21"/>
      <c r="O558" s="21"/>
    </row>
    <row r="559" spans="2:15" x14ac:dyDescent="0.2">
      <c r="B559" s="20"/>
      <c r="I559" s="22"/>
    </row>
    <row r="560" spans="2:15" ht="15" thickBot="1" x14ac:dyDescent="0.25">
      <c r="B560" s="20"/>
      <c r="C560" s="19" t="s">
        <v>27</v>
      </c>
      <c r="H560" s="117">
        <f>H538+H543+H548+H553+H558</f>
        <v>43612952</v>
      </c>
      <c r="I560" s="81"/>
    </row>
    <row r="561" spans="2:9" x14ac:dyDescent="0.2">
      <c r="B561" s="20"/>
      <c r="I561" s="22"/>
    </row>
    <row r="562" spans="2:9" ht="15" x14ac:dyDescent="0.25">
      <c r="B562" s="20"/>
      <c r="C562" s="19" t="s">
        <v>28</v>
      </c>
      <c r="H562" s="19"/>
      <c r="I562" s="82">
        <f>I512-H560</f>
        <v>87522683</v>
      </c>
    </row>
    <row r="563" spans="2:9" x14ac:dyDescent="0.2">
      <c r="B563" s="24"/>
      <c r="C563" s="25"/>
      <c r="D563" s="25"/>
      <c r="E563" s="25"/>
      <c r="F563" s="23"/>
      <c r="G563" s="23"/>
      <c r="H563" s="23"/>
      <c r="I563" s="37"/>
    </row>
    <row r="567" spans="2:9" ht="28.9" customHeight="1" thickBot="1" x14ac:dyDescent="0.25">
      <c r="B567" s="192" t="str">
        <f>B16</f>
        <v>KIWI</v>
      </c>
      <c r="C567" s="193"/>
      <c r="D567" s="193"/>
      <c r="E567" s="193"/>
      <c r="F567" s="193"/>
      <c r="G567" s="193"/>
      <c r="H567" s="193"/>
      <c r="I567" s="193"/>
    </row>
    <row r="568" spans="2:9" ht="21.75" x14ac:dyDescent="0.2">
      <c r="B568" s="194" t="s">
        <v>21</v>
      </c>
      <c r="C568" s="194"/>
      <c r="D568" s="194"/>
      <c r="E568" s="194"/>
      <c r="F568" s="194"/>
      <c r="G568" s="194"/>
      <c r="H568" s="194"/>
      <c r="I568" s="195"/>
    </row>
    <row r="569" spans="2:9" ht="21.75" x14ac:dyDescent="0.2">
      <c r="B569" s="186" t="s">
        <v>190</v>
      </c>
      <c r="C569" s="186"/>
      <c r="D569" s="186"/>
      <c r="E569" s="186"/>
      <c r="F569" s="186"/>
      <c r="G569" s="186"/>
      <c r="H569" s="186"/>
      <c r="I569" s="196"/>
    </row>
    <row r="571" spans="2:9" ht="21.75" x14ac:dyDescent="0.2">
      <c r="B571" s="105"/>
      <c r="C571" s="106" t="s">
        <v>22</v>
      </c>
      <c r="D571" s="106"/>
      <c r="E571" s="106"/>
      <c r="F571" s="106"/>
      <c r="G571" s="106"/>
      <c r="H571" s="106"/>
      <c r="I571" s="107"/>
    </row>
    <row r="572" spans="2:9" x14ac:dyDescent="0.2">
      <c r="B572" s="20"/>
      <c r="I572" s="22"/>
    </row>
    <row r="573" spans="2:9" ht="21.75" x14ac:dyDescent="0.2">
      <c r="B573" s="108"/>
      <c r="C573" s="102" t="s">
        <v>63</v>
      </c>
      <c r="D573" s="100"/>
      <c r="E573" s="100"/>
      <c r="F573" s="101" t="s">
        <v>115</v>
      </c>
      <c r="G573" s="101"/>
      <c r="H573" s="101" t="s">
        <v>116</v>
      </c>
      <c r="I573" s="109" t="s">
        <v>17</v>
      </c>
    </row>
    <row r="574" spans="2:9" x14ac:dyDescent="0.2">
      <c r="B574" s="20"/>
      <c r="I574" s="22"/>
    </row>
    <row r="575" spans="2:9" x14ac:dyDescent="0.2">
      <c r="B575" s="20"/>
      <c r="C575" s="19" t="s">
        <v>23</v>
      </c>
      <c r="H575" s="21">
        <f>'Rec.Data System-IN'!R24</f>
        <v>1373438</v>
      </c>
      <c r="I575" s="22">
        <f t="shared" ref="I575:I581" si="8">F575+H575</f>
        <v>1373438</v>
      </c>
    </row>
    <row r="576" spans="2:9" x14ac:dyDescent="0.2">
      <c r="B576" s="20"/>
      <c r="C576" s="19" t="s">
        <v>24</v>
      </c>
      <c r="H576" s="110">
        <f>'Rec.Data System-IN'!S24</f>
        <v>22111795</v>
      </c>
      <c r="I576" s="22">
        <f t="shared" si="8"/>
        <v>22111795</v>
      </c>
    </row>
    <row r="577" spans="2:9" ht="25.5" customHeight="1" x14ac:dyDescent="0.2">
      <c r="B577" s="20"/>
      <c r="C577" s="7" t="s">
        <v>81</v>
      </c>
      <c r="F577" s="21">
        <f>I538</f>
        <v>6767526</v>
      </c>
      <c r="H577" s="21">
        <f>SUM(H575:H576)</f>
        <v>23485233</v>
      </c>
      <c r="I577" s="22">
        <f t="shared" si="8"/>
        <v>30252759</v>
      </c>
    </row>
    <row r="578" spans="2:9" x14ac:dyDescent="0.2">
      <c r="B578" s="20"/>
      <c r="C578" s="19" t="s">
        <v>104</v>
      </c>
      <c r="F578" s="21">
        <f>I543</f>
        <v>693000</v>
      </c>
      <c r="H578" s="21">
        <f>'Rec.Data System-IN'!T24</f>
        <v>0</v>
      </c>
      <c r="I578" s="22">
        <f t="shared" si="8"/>
        <v>693000</v>
      </c>
    </row>
    <row r="579" spans="2:9" x14ac:dyDescent="0.2">
      <c r="B579" s="20"/>
      <c r="C579" s="19" t="s">
        <v>34</v>
      </c>
      <c r="F579" s="21">
        <f>I548</f>
        <v>25186514</v>
      </c>
      <c r="H579" s="21">
        <f>'Rec.Data System-IN'!U24</f>
        <v>148842875</v>
      </c>
      <c r="I579" s="22">
        <f t="shared" si="8"/>
        <v>174029389</v>
      </c>
    </row>
    <row r="580" spans="2:9" x14ac:dyDescent="0.2">
      <c r="B580" s="20"/>
      <c r="C580" s="19" t="s">
        <v>105</v>
      </c>
      <c r="F580" s="21">
        <f>I553</f>
        <v>467000</v>
      </c>
      <c r="H580" s="21">
        <f>'Rec.Data System-IN'!V24</f>
        <v>834000</v>
      </c>
      <c r="I580" s="22">
        <f t="shared" si="8"/>
        <v>1301000</v>
      </c>
    </row>
    <row r="581" spans="2:9" x14ac:dyDescent="0.2">
      <c r="B581" s="20"/>
      <c r="C581" s="19" t="s">
        <v>106</v>
      </c>
      <c r="F581" s="110">
        <f>I558</f>
        <v>54408643</v>
      </c>
      <c r="H581" s="21">
        <f>'Rec.Data System-IN'!W24</f>
        <v>61702137</v>
      </c>
      <c r="I581" s="22">
        <f t="shared" si="8"/>
        <v>116110780</v>
      </c>
    </row>
    <row r="582" spans="2:9" x14ac:dyDescent="0.2">
      <c r="B582" s="20"/>
      <c r="I582" s="22"/>
    </row>
    <row r="583" spans="2:9" ht="15.75" thickBot="1" x14ac:dyDescent="0.3">
      <c r="B583" s="20"/>
      <c r="C583" s="19" t="s">
        <v>25</v>
      </c>
      <c r="I583" s="83">
        <f>SUM(I577:I581)</f>
        <v>322386928</v>
      </c>
    </row>
    <row r="584" spans="2:9" ht="15" thickTop="1" x14ac:dyDescent="0.2">
      <c r="B584" s="20"/>
      <c r="I584" s="22"/>
    </row>
    <row r="585" spans="2:9" ht="21.75" x14ac:dyDescent="0.2">
      <c r="B585" s="111"/>
      <c r="C585" s="103" t="s">
        <v>26</v>
      </c>
      <c r="D585" s="103"/>
      <c r="E585" s="103"/>
      <c r="F585" s="103"/>
      <c r="G585" s="103"/>
      <c r="H585" s="103"/>
      <c r="I585" s="112"/>
    </row>
    <row r="586" spans="2:9" x14ac:dyDescent="0.2">
      <c r="B586" s="20"/>
      <c r="F586" s="19"/>
      <c r="H586" s="19"/>
      <c r="I586" s="22"/>
    </row>
    <row r="587" spans="2:9" ht="21.75" x14ac:dyDescent="0.2">
      <c r="B587" s="108"/>
      <c r="C587" s="102" t="s">
        <v>65</v>
      </c>
      <c r="D587" s="100"/>
      <c r="E587" s="102" t="s">
        <v>145</v>
      </c>
      <c r="F587" s="104" t="s">
        <v>114</v>
      </c>
      <c r="G587" s="101"/>
      <c r="H587" s="101"/>
      <c r="I587" s="109"/>
    </row>
    <row r="588" spans="2:9" x14ac:dyDescent="0.2">
      <c r="B588" s="80"/>
      <c r="F588" s="19" t="s">
        <v>113</v>
      </c>
      <c r="H588" s="113"/>
      <c r="I588" s="22"/>
    </row>
    <row r="589" spans="2:9" x14ac:dyDescent="0.2">
      <c r="B589" s="80"/>
      <c r="F589" s="19"/>
      <c r="H589" s="113"/>
      <c r="I589" s="22"/>
    </row>
    <row r="590" spans="2:9" x14ac:dyDescent="0.2">
      <c r="B590" s="80">
        <v>1</v>
      </c>
      <c r="C590" s="19" t="s">
        <v>632</v>
      </c>
      <c r="E590" s="19" t="s">
        <v>599</v>
      </c>
      <c r="F590" s="19" t="s">
        <v>135</v>
      </c>
      <c r="G590" s="19"/>
      <c r="H590" s="114">
        <v>44508</v>
      </c>
      <c r="I590" s="22"/>
    </row>
    <row r="591" spans="2:9" x14ac:dyDescent="0.2">
      <c r="B591" s="80">
        <v>2</v>
      </c>
      <c r="C591" s="19" t="s">
        <v>633</v>
      </c>
      <c r="E591" s="19" t="s">
        <v>600</v>
      </c>
      <c r="F591" s="19" t="s">
        <v>135</v>
      </c>
      <c r="G591" s="19"/>
      <c r="H591" s="114">
        <v>2100000</v>
      </c>
      <c r="I591" s="22"/>
    </row>
    <row r="592" spans="2:9" x14ac:dyDescent="0.2">
      <c r="B592" s="80">
        <v>3</v>
      </c>
      <c r="C592" s="19" t="s">
        <v>634</v>
      </c>
      <c r="E592" s="19" t="s">
        <v>601</v>
      </c>
      <c r="F592" s="19" t="s">
        <v>135</v>
      </c>
      <c r="G592" s="19"/>
      <c r="H592" s="114">
        <v>300000</v>
      </c>
      <c r="I592" s="22"/>
    </row>
    <row r="593" spans="2:9" x14ac:dyDescent="0.2">
      <c r="B593" s="80">
        <v>4</v>
      </c>
      <c r="C593" s="19" t="s">
        <v>636</v>
      </c>
      <c r="E593" s="19" t="s">
        <v>603</v>
      </c>
      <c r="F593" s="19" t="s">
        <v>135</v>
      </c>
      <c r="G593" s="19"/>
      <c r="H593" s="114">
        <v>500000</v>
      </c>
      <c r="I593" s="22"/>
    </row>
    <row r="594" spans="2:9" x14ac:dyDescent="0.2">
      <c r="B594" s="80">
        <v>5</v>
      </c>
      <c r="C594" s="19" t="s">
        <v>637</v>
      </c>
      <c r="E594" s="19" t="s">
        <v>604</v>
      </c>
      <c r="F594" s="19" t="s">
        <v>135</v>
      </c>
      <c r="G594" s="19"/>
      <c r="H594" s="114">
        <v>100000</v>
      </c>
      <c r="I594" s="22"/>
    </row>
    <row r="595" spans="2:9" x14ac:dyDescent="0.2">
      <c r="B595" s="80">
        <v>6</v>
      </c>
      <c r="C595" s="19" t="s">
        <v>639</v>
      </c>
      <c r="E595" s="19" t="s">
        <v>606</v>
      </c>
      <c r="F595" s="19" t="s">
        <v>135</v>
      </c>
      <c r="G595" s="19"/>
      <c r="H595" s="114">
        <v>750000</v>
      </c>
      <c r="I595" s="22"/>
    </row>
    <row r="596" spans="2:9" x14ac:dyDescent="0.2">
      <c r="B596" s="80">
        <v>7</v>
      </c>
      <c r="C596" s="19" t="s">
        <v>640</v>
      </c>
      <c r="E596" s="19" t="s">
        <v>607</v>
      </c>
      <c r="F596" s="19" t="s">
        <v>135</v>
      </c>
      <c r="G596" s="19"/>
      <c r="H596" s="114">
        <v>500000</v>
      </c>
      <c r="I596" s="22"/>
    </row>
    <row r="597" spans="2:9" x14ac:dyDescent="0.2">
      <c r="B597" s="80">
        <v>8</v>
      </c>
      <c r="C597" s="19" t="s">
        <v>641</v>
      </c>
      <c r="E597" s="19" t="s">
        <v>608</v>
      </c>
      <c r="F597" s="19" t="s">
        <v>135</v>
      </c>
      <c r="G597" s="19"/>
      <c r="H597" s="114">
        <v>377400</v>
      </c>
      <c r="I597" s="22"/>
    </row>
    <row r="598" spans="2:9" x14ac:dyDescent="0.2">
      <c r="B598" s="80">
        <v>9</v>
      </c>
      <c r="C598" s="19" t="s">
        <v>642</v>
      </c>
      <c r="E598" s="19" t="s">
        <v>609</v>
      </c>
      <c r="F598" s="19" t="s">
        <v>135</v>
      </c>
      <c r="G598" s="19"/>
      <c r="H598" s="114">
        <v>300000</v>
      </c>
      <c r="I598" s="22"/>
    </row>
    <row r="599" spans="2:9" x14ac:dyDescent="0.2">
      <c r="B599" s="80">
        <v>10</v>
      </c>
      <c r="C599" s="19" t="s">
        <v>643</v>
      </c>
      <c r="E599" s="19" t="s">
        <v>610</v>
      </c>
      <c r="F599" s="19" t="s">
        <v>135</v>
      </c>
      <c r="G599" s="19"/>
      <c r="H599" s="114">
        <v>250000</v>
      </c>
      <c r="I599" s="22"/>
    </row>
    <row r="600" spans="2:9" x14ac:dyDescent="0.2">
      <c r="B600" s="80">
        <v>11</v>
      </c>
      <c r="C600" s="19" t="s">
        <v>644</v>
      </c>
      <c r="E600" s="19" t="s">
        <v>611</v>
      </c>
      <c r="F600" s="19" t="s">
        <v>135</v>
      </c>
      <c r="G600" s="19"/>
      <c r="H600" s="114">
        <v>64919</v>
      </c>
      <c r="I600" s="22"/>
    </row>
    <row r="601" spans="2:9" x14ac:dyDescent="0.2">
      <c r="B601" s="80">
        <v>12</v>
      </c>
      <c r="C601" s="19" t="s">
        <v>645</v>
      </c>
      <c r="E601" s="19" t="s">
        <v>612</v>
      </c>
      <c r="F601" s="19" t="s">
        <v>135</v>
      </c>
      <c r="G601" s="19"/>
      <c r="H601" s="114">
        <v>1663645</v>
      </c>
      <c r="I601" s="22"/>
    </row>
    <row r="602" spans="2:9" x14ac:dyDescent="0.2">
      <c r="B602" s="80">
        <v>13</v>
      </c>
      <c r="C602" s="19" t="s">
        <v>646</v>
      </c>
      <c r="E602" s="19" t="s">
        <v>613</v>
      </c>
      <c r="F602" s="19" t="s">
        <v>135</v>
      </c>
      <c r="G602" s="19"/>
      <c r="H602" s="114">
        <v>1597000</v>
      </c>
      <c r="I602" s="22"/>
    </row>
    <row r="603" spans="2:9" x14ac:dyDescent="0.2">
      <c r="B603" s="80">
        <v>14</v>
      </c>
      <c r="C603" s="19" t="s">
        <v>647</v>
      </c>
      <c r="E603" s="19" t="s">
        <v>614</v>
      </c>
      <c r="F603" s="19" t="s">
        <v>135</v>
      </c>
      <c r="G603" s="19"/>
      <c r="H603" s="114">
        <v>120000</v>
      </c>
      <c r="I603" s="22"/>
    </row>
    <row r="604" spans="2:9" x14ac:dyDescent="0.2">
      <c r="B604" s="80">
        <v>15</v>
      </c>
      <c r="C604" s="19" t="s">
        <v>648</v>
      </c>
      <c r="E604" s="19" t="s">
        <v>615</v>
      </c>
      <c r="F604" s="19" t="s">
        <v>135</v>
      </c>
      <c r="G604" s="19"/>
      <c r="H604" s="114">
        <v>1030000</v>
      </c>
      <c r="I604" s="22"/>
    </row>
    <row r="605" spans="2:9" x14ac:dyDescent="0.2">
      <c r="B605" s="80">
        <v>16</v>
      </c>
      <c r="C605" s="19" t="s">
        <v>654</v>
      </c>
      <c r="E605" s="19" t="s">
        <v>621</v>
      </c>
      <c r="F605" s="19" t="s">
        <v>135</v>
      </c>
      <c r="G605" s="19"/>
      <c r="H605" s="114">
        <v>2370850</v>
      </c>
      <c r="I605" s="22"/>
    </row>
    <row r="606" spans="2:9" x14ac:dyDescent="0.2">
      <c r="B606" s="80">
        <v>17</v>
      </c>
      <c r="C606" s="19" t="s">
        <v>655</v>
      </c>
      <c r="E606" s="19" t="s">
        <v>622</v>
      </c>
      <c r="F606" s="19" t="s">
        <v>135</v>
      </c>
      <c r="G606" s="19"/>
      <c r="H606" s="114">
        <v>2970000</v>
      </c>
      <c r="I606" s="22"/>
    </row>
    <row r="607" spans="2:9" x14ac:dyDescent="0.2">
      <c r="B607" s="80">
        <v>18</v>
      </c>
      <c r="C607" s="19" t="s">
        <v>656</v>
      </c>
      <c r="E607" s="19" t="s">
        <v>623</v>
      </c>
      <c r="F607" s="19" t="s">
        <v>135</v>
      </c>
      <c r="G607" s="19"/>
      <c r="H607" s="114">
        <v>300000</v>
      </c>
      <c r="I607" s="22"/>
    </row>
    <row r="608" spans="2:9" x14ac:dyDescent="0.2">
      <c r="B608" s="80">
        <v>19</v>
      </c>
      <c r="C608" s="19" t="s">
        <v>657</v>
      </c>
      <c r="E608" s="19" t="s">
        <v>624</v>
      </c>
      <c r="F608" s="19" t="s">
        <v>135</v>
      </c>
      <c r="G608" s="19"/>
      <c r="H608" s="114">
        <v>1000000</v>
      </c>
      <c r="I608" s="22"/>
    </row>
    <row r="609" spans="2:15" x14ac:dyDescent="0.2">
      <c r="B609" s="80">
        <v>20</v>
      </c>
      <c r="C609" s="19" t="s">
        <v>659</v>
      </c>
      <c r="E609" s="19" t="s">
        <v>626</v>
      </c>
      <c r="F609" s="19" t="s">
        <v>135</v>
      </c>
      <c r="G609" s="19"/>
      <c r="H609" s="114">
        <v>1025000</v>
      </c>
      <c r="I609" s="22"/>
      <c r="N609" s="21"/>
      <c r="O609" s="21"/>
    </row>
    <row r="610" spans="2:15" ht="16.5" x14ac:dyDescent="0.35">
      <c r="B610" s="80">
        <v>21</v>
      </c>
      <c r="C610" s="19" t="s">
        <v>663</v>
      </c>
      <c r="E610" s="19" t="s">
        <v>630</v>
      </c>
      <c r="F610" s="19" t="s">
        <v>135</v>
      </c>
      <c r="G610" s="19"/>
      <c r="H610" s="115">
        <v>462000</v>
      </c>
      <c r="I610" s="22"/>
      <c r="N610" s="21"/>
      <c r="O610" s="21"/>
    </row>
    <row r="611" spans="2:15" x14ac:dyDescent="0.2">
      <c r="B611" s="80"/>
      <c r="C611" s="116" t="s">
        <v>139</v>
      </c>
      <c r="F611" s="19"/>
      <c r="G611" s="19"/>
      <c r="H611" s="114">
        <f>SUM(H590:H610)</f>
        <v>17825322</v>
      </c>
      <c r="I611" s="22">
        <f>I577-H611</f>
        <v>12427437</v>
      </c>
      <c r="N611" s="21"/>
      <c r="O611" s="21"/>
    </row>
    <row r="612" spans="2:15" x14ac:dyDescent="0.2">
      <c r="B612" s="80">
        <v>1</v>
      </c>
      <c r="C612" s="19" t="s">
        <v>635</v>
      </c>
      <c r="E612" s="19" t="s">
        <v>602</v>
      </c>
      <c r="F612" s="19" t="s">
        <v>104</v>
      </c>
      <c r="G612" s="19"/>
      <c r="H612" s="114">
        <v>216000</v>
      </c>
      <c r="I612" s="22"/>
      <c r="N612" s="21"/>
      <c r="O612" s="21"/>
    </row>
    <row r="613" spans="2:15" x14ac:dyDescent="0.2">
      <c r="B613" s="80">
        <v>2</v>
      </c>
      <c r="F613" s="19" t="s">
        <v>104</v>
      </c>
      <c r="G613" s="19"/>
      <c r="H613" s="114">
        <v>0</v>
      </c>
      <c r="I613" s="22"/>
      <c r="N613" s="21"/>
      <c r="O613" s="21"/>
    </row>
    <row r="614" spans="2:15" x14ac:dyDescent="0.2">
      <c r="B614" s="80">
        <v>3</v>
      </c>
      <c r="F614" s="19" t="s">
        <v>104</v>
      </c>
      <c r="G614" s="19"/>
      <c r="H614" s="114">
        <v>0</v>
      </c>
      <c r="I614" s="22"/>
      <c r="N614" s="21"/>
      <c r="O614" s="21"/>
    </row>
    <row r="615" spans="2:15" ht="16.5" x14ac:dyDescent="0.35">
      <c r="B615" s="80">
        <v>4</v>
      </c>
      <c r="F615" s="19" t="s">
        <v>104</v>
      </c>
      <c r="G615" s="19"/>
      <c r="H615" s="115">
        <v>0</v>
      </c>
      <c r="I615" s="22"/>
      <c r="N615" s="21"/>
      <c r="O615" s="21"/>
    </row>
    <row r="616" spans="2:15" x14ac:dyDescent="0.2">
      <c r="B616" s="80"/>
      <c r="C616" s="116" t="s">
        <v>140</v>
      </c>
      <c r="F616" s="19"/>
      <c r="G616" s="19"/>
      <c r="H616" s="114">
        <f>SUM(H612:H615)</f>
        <v>216000</v>
      </c>
      <c r="I616" s="22">
        <f>I578-H616</f>
        <v>477000</v>
      </c>
      <c r="N616" s="21"/>
      <c r="O616" s="21"/>
    </row>
    <row r="617" spans="2:15" x14ac:dyDescent="0.2">
      <c r="B617" s="80">
        <v>1</v>
      </c>
      <c r="C617" s="19" t="s">
        <v>649</v>
      </c>
      <c r="E617" s="19" t="s">
        <v>616</v>
      </c>
      <c r="F617" s="19" t="s">
        <v>34</v>
      </c>
      <c r="G617" s="19"/>
      <c r="H617" s="114">
        <v>156641000</v>
      </c>
      <c r="I617" s="22"/>
      <c r="N617" s="21"/>
      <c r="O617" s="21"/>
    </row>
    <row r="618" spans="2:15" x14ac:dyDescent="0.2">
      <c r="B618" s="80">
        <v>2</v>
      </c>
      <c r="C618" s="19" t="s">
        <v>650</v>
      </c>
      <c r="E618" s="19" t="s">
        <v>617</v>
      </c>
      <c r="F618" s="19" t="s">
        <v>34</v>
      </c>
      <c r="G618" s="19"/>
      <c r="H618" s="114">
        <v>9895000</v>
      </c>
      <c r="I618" s="22"/>
      <c r="N618" s="21"/>
      <c r="O618" s="21"/>
    </row>
    <row r="619" spans="2:15" x14ac:dyDescent="0.2">
      <c r="B619" s="80">
        <v>3</v>
      </c>
      <c r="C619" s="19" t="s">
        <v>651</v>
      </c>
      <c r="E619" s="19" t="s">
        <v>618</v>
      </c>
      <c r="F619" s="19" t="s">
        <v>34</v>
      </c>
      <c r="G619" s="19"/>
      <c r="H619" s="114">
        <v>7464000</v>
      </c>
      <c r="I619" s="22"/>
      <c r="N619" s="21"/>
      <c r="O619" s="21"/>
    </row>
    <row r="620" spans="2:15" ht="16.5" x14ac:dyDescent="0.35">
      <c r="B620" s="80">
        <v>4</v>
      </c>
      <c r="F620" s="19" t="s">
        <v>34</v>
      </c>
      <c r="G620" s="19"/>
      <c r="H620" s="115">
        <v>0</v>
      </c>
      <c r="I620" s="22"/>
      <c r="N620" s="21"/>
      <c r="O620" s="21"/>
    </row>
    <row r="621" spans="2:15" x14ac:dyDescent="0.2">
      <c r="B621" s="80"/>
      <c r="C621" s="116" t="s">
        <v>141</v>
      </c>
      <c r="F621" s="19"/>
      <c r="G621" s="19"/>
      <c r="H621" s="114">
        <f>SUM(H617:H620)</f>
        <v>174000000</v>
      </c>
      <c r="I621" s="22">
        <f>I579-H621</f>
        <v>29389</v>
      </c>
      <c r="N621" s="21"/>
      <c r="O621" s="21"/>
    </row>
    <row r="622" spans="2:15" x14ac:dyDescent="0.2">
      <c r="B622" s="80">
        <v>1</v>
      </c>
      <c r="C622" s="19" t="s">
        <v>652</v>
      </c>
      <c r="E622" s="19" t="s">
        <v>619</v>
      </c>
      <c r="F622" s="19" t="s">
        <v>105</v>
      </c>
      <c r="G622" s="19"/>
      <c r="H622" s="114">
        <v>450000</v>
      </c>
      <c r="I622" s="22"/>
      <c r="N622" s="21"/>
      <c r="O622" s="21"/>
    </row>
    <row r="623" spans="2:15" x14ac:dyDescent="0.2">
      <c r="B623" s="80">
        <v>2</v>
      </c>
      <c r="F623" s="19" t="s">
        <v>105</v>
      </c>
      <c r="G623" s="19"/>
      <c r="H623" s="114">
        <v>0</v>
      </c>
      <c r="I623" s="22"/>
      <c r="N623" s="21"/>
      <c r="O623" s="21"/>
    </row>
    <row r="624" spans="2:15" x14ac:dyDescent="0.2">
      <c r="B624" s="80">
        <v>3</v>
      </c>
      <c r="F624" s="19" t="s">
        <v>105</v>
      </c>
      <c r="G624" s="19"/>
      <c r="H624" s="114">
        <v>0</v>
      </c>
      <c r="I624" s="22"/>
      <c r="N624" s="21"/>
      <c r="O624" s="21"/>
    </row>
    <row r="625" spans="2:15" ht="16.5" x14ac:dyDescent="0.35">
      <c r="B625" s="80">
        <v>4</v>
      </c>
      <c r="F625" s="19" t="s">
        <v>105</v>
      </c>
      <c r="G625" s="19"/>
      <c r="H625" s="115">
        <v>0</v>
      </c>
      <c r="I625" s="22"/>
      <c r="N625" s="21"/>
      <c r="O625" s="21"/>
    </row>
    <row r="626" spans="2:15" x14ac:dyDescent="0.2">
      <c r="B626" s="80"/>
      <c r="C626" s="116" t="s">
        <v>142</v>
      </c>
      <c r="F626" s="19"/>
      <c r="G626" s="19"/>
      <c r="H626" s="114">
        <f>SUM(H622:H625)</f>
        <v>450000</v>
      </c>
      <c r="I626" s="22">
        <f>I580-H626</f>
        <v>851000</v>
      </c>
      <c r="N626" s="21"/>
      <c r="O626" s="21"/>
    </row>
    <row r="627" spans="2:15" x14ac:dyDescent="0.2">
      <c r="B627" s="80">
        <v>1</v>
      </c>
      <c r="C627" s="19" t="s">
        <v>638</v>
      </c>
      <c r="E627" s="19" t="s">
        <v>605</v>
      </c>
      <c r="F627" s="19" t="s">
        <v>143</v>
      </c>
      <c r="G627" s="19"/>
      <c r="H627" s="114">
        <v>250000</v>
      </c>
      <c r="I627" s="22"/>
      <c r="N627" s="21"/>
      <c r="O627" s="21"/>
    </row>
    <row r="628" spans="2:15" x14ac:dyDescent="0.2">
      <c r="B628" s="80">
        <v>2</v>
      </c>
      <c r="C628" s="19" t="s">
        <v>653</v>
      </c>
      <c r="E628" s="19" t="s">
        <v>620</v>
      </c>
      <c r="F628" s="19" t="s">
        <v>143</v>
      </c>
      <c r="G628" s="19"/>
      <c r="H628" s="114">
        <v>1500000</v>
      </c>
      <c r="I628" s="22"/>
      <c r="N628" s="21"/>
      <c r="O628" s="21"/>
    </row>
    <row r="629" spans="2:15" x14ac:dyDescent="0.2">
      <c r="B629" s="80">
        <v>3</v>
      </c>
      <c r="C629" s="19" t="s">
        <v>658</v>
      </c>
      <c r="E629" s="19" t="s">
        <v>625</v>
      </c>
      <c r="F629" s="19" t="s">
        <v>143</v>
      </c>
      <c r="G629" s="19"/>
      <c r="H629" s="114">
        <v>2500000</v>
      </c>
      <c r="I629" s="22"/>
      <c r="N629" s="21"/>
      <c r="O629" s="21"/>
    </row>
    <row r="630" spans="2:15" x14ac:dyDescent="0.2">
      <c r="B630" s="80">
        <v>4</v>
      </c>
      <c r="C630" s="19" t="s">
        <v>660</v>
      </c>
      <c r="E630" s="19" t="s">
        <v>627</v>
      </c>
      <c r="F630" s="19" t="s">
        <v>143</v>
      </c>
      <c r="G630" s="19"/>
      <c r="H630" s="114">
        <v>41950000</v>
      </c>
      <c r="I630" s="22"/>
      <c r="N630" s="21"/>
      <c r="O630" s="21"/>
    </row>
    <row r="631" spans="2:15" x14ac:dyDescent="0.2">
      <c r="B631" s="80">
        <v>5</v>
      </c>
      <c r="C631" s="19" t="s">
        <v>661</v>
      </c>
      <c r="E631" s="19" t="s">
        <v>628</v>
      </c>
      <c r="F631" s="19" t="s">
        <v>143</v>
      </c>
      <c r="G631" s="19"/>
      <c r="H631" s="114">
        <v>1500000</v>
      </c>
      <c r="I631" s="22"/>
      <c r="N631" s="21"/>
      <c r="O631" s="21"/>
    </row>
    <row r="632" spans="2:15" x14ac:dyDescent="0.2">
      <c r="B632" s="80">
        <v>6</v>
      </c>
      <c r="C632" s="19" t="s">
        <v>662</v>
      </c>
      <c r="E632" s="19" t="s">
        <v>629</v>
      </c>
      <c r="F632" s="19" t="s">
        <v>143</v>
      </c>
      <c r="G632" s="19"/>
      <c r="H632" s="114">
        <v>46722355</v>
      </c>
      <c r="I632" s="22"/>
      <c r="N632" s="21"/>
      <c r="O632" s="21"/>
    </row>
    <row r="633" spans="2:15" ht="16.5" x14ac:dyDescent="0.35">
      <c r="B633" s="80">
        <v>7</v>
      </c>
      <c r="C633" s="19" t="s">
        <v>664</v>
      </c>
      <c r="E633" s="19" t="s">
        <v>631</v>
      </c>
      <c r="F633" s="19" t="s">
        <v>143</v>
      </c>
      <c r="G633" s="19"/>
      <c r="H633" s="115">
        <v>2277645</v>
      </c>
      <c r="I633" s="22"/>
      <c r="N633" s="21"/>
      <c r="O633" s="21"/>
    </row>
    <row r="634" spans="2:15" x14ac:dyDescent="0.2">
      <c r="B634" s="80"/>
      <c r="C634" s="116" t="s">
        <v>144</v>
      </c>
      <c r="F634" s="19"/>
      <c r="G634" s="19"/>
      <c r="H634" s="114">
        <f>SUM(H627:H633)</f>
        <v>96700000</v>
      </c>
      <c r="I634" s="22">
        <f>I581-H634</f>
        <v>19410780</v>
      </c>
      <c r="N634" s="21"/>
      <c r="O634" s="21"/>
    </row>
    <row r="635" spans="2:15" x14ac:dyDescent="0.2">
      <c r="B635" s="20"/>
      <c r="I635" s="22"/>
    </row>
    <row r="636" spans="2:15" ht="15" thickBot="1" x14ac:dyDescent="0.25">
      <c r="B636" s="20"/>
      <c r="C636" s="19" t="s">
        <v>27</v>
      </c>
      <c r="H636" s="117">
        <f>H611+H616+H621+H626+H634</f>
        <v>289191322</v>
      </c>
      <c r="I636" s="81"/>
    </row>
    <row r="637" spans="2:15" x14ac:dyDescent="0.2">
      <c r="B637" s="20"/>
      <c r="I637" s="22"/>
    </row>
    <row r="638" spans="2:15" ht="15" x14ac:dyDescent="0.25">
      <c r="B638" s="20"/>
      <c r="C638" s="19" t="s">
        <v>28</v>
      </c>
      <c r="H638" s="19"/>
      <c r="I638" s="82">
        <f>I583-H636</f>
        <v>33195606</v>
      </c>
    </row>
    <row r="639" spans="2:15" x14ac:dyDescent="0.2">
      <c r="B639" s="24"/>
      <c r="C639" s="25"/>
      <c r="D639" s="25"/>
      <c r="E639" s="25"/>
      <c r="F639" s="23"/>
      <c r="G639" s="23"/>
      <c r="H639" s="23"/>
      <c r="I639" s="37"/>
    </row>
    <row r="643" spans="2:9" ht="28.9" customHeight="1" thickBot="1" x14ac:dyDescent="0.25">
      <c r="B643" s="192" t="str">
        <f>B16</f>
        <v>KIWI</v>
      </c>
      <c r="C643" s="193"/>
      <c r="D643" s="193"/>
      <c r="E643" s="193"/>
      <c r="F643" s="193"/>
      <c r="G643" s="193"/>
      <c r="H643" s="193"/>
      <c r="I643" s="193"/>
    </row>
    <row r="644" spans="2:9" ht="21.75" x14ac:dyDescent="0.2">
      <c r="B644" s="194" t="s">
        <v>21</v>
      </c>
      <c r="C644" s="194"/>
      <c r="D644" s="194"/>
      <c r="E644" s="194"/>
      <c r="F644" s="194"/>
      <c r="G644" s="194"/>
      <c r="H644" s="194"/>
      <c r="I644" s="195"/>
    </row>
    <row r="645" spans="2:9" ht="21.75" x14ac:dyDescent="0.2">
      <c r="B645" s="186" t="s">
        <v>191</v>
      </c>
      <c r="C645" s="186"/>
      <c r="D645" s="186"/>
      <c r="E645" s="186"/>
      <c r="F645" s="186"/>
      <c r="G645" s="186"/>
      <c r="H645" s="186"/>
      <c r="I645" s="196"/>
    </row>
    <row r="647" spans="2:9" ht="21.75" x14ac:dyDescent="0.2">
      <c r="B647" s="105"/>
      <c r="C647" s="106" t="s">
        <v>22</v>
      </c>
      <c r="D647" s="106"/>
      <c r="E647" s="106"/>
      <c r="F647" s="106"/>
      <c r="G647" s="106"/>
      <c r="H647" s="106"/>
      <c r="I647" s="107"/>
    </row>
    <row r="648" spans="2:9" x14ac:dyDescent="0.2">
      <c r="B648" s="20"/>
      <c r="I648" s="22"/>
    </row>
    <row r="649" spans="2:9" ht="21.75" x14ac:dyDescent="0.2">
      <c r="B649" s="108"/>
      <c r="C649" s="102" t="s">
        <v>63</v>
      </c>
      <c r="D649" s="100"/>
      <c r="E649" s="100"/>
      <c r="F649" s="101" t="s">
        <v>115</v>
      </c>
      <c r="G649" s="101"/>
      <c r="H649" s="101" t="s">
        <v>116</v>
      </c>
      <c r="I649" s="109" t="s">
        <v>17</v>
      </c>
    </row>
    <row r="650" spans="2:9" x14ac:dyDescent="0.2">
      <c r="B650" s="20"/>
      <c r="I650" s="22"/>
    </row>
    <row r="651" spans="2:9" x14ac:dyDescent="0.2">
      <c r="B651" s="20"/>
      <c r="C651" s="19" t="s">
        <v>23</v>
      </c>
      <c r="H651" s="21">
        <f>'Rec.Data System-IN'!R25</f>
        <v>1637054</v>
      </c>
      <c r="I651" s="22">
        <f t="shared" ref="I651:I657" si="9">F651+H651</f>
        <v>1637054</v>
      </c>
    </row>
    <row r="652" spans="2:9" x14ac:dyDescent="0.2">
      <c r="B652" s="20"/>
      <c r="C652" s="19" t="s">
        <v>24</v>
      </c>
      <c r="H652" s="110">
        <f>'Rec.Data System-IN'!S25</f>
        <v>66742440</v>
      </c>
      <c r="I652" s="22">
        <f t="shared" si="9"/>
        <v>66742440</v>
      </c>
    </row>
    <row r="653" spans="2:9" ht="25.5" customHeight="1" x14ac:dyDescent="0.2">
      <c r="B653" s="20"/>
      <c r="C653" s="7" t="s">
        <v>81</v>
      </c>
      <c r="F653" s="21">
        <f>I611</f>
        <v>12427437</v>
      </c>
      <c r="H653" s="21">
        <f>SUM(H651:H652)</f>
        <v>68379494</v>
      </c>
      <c r="I653" s="22">
        <f t="shared" si="9"/>
        <v>80806931</v>
      </c>
    </row>
    <row r="654" spans="2:9" x14ac:dyDescent="0.2">
      <c r="B654" s="20"/>
      <c r="C654" s="19" t="s">
        <v>104</v>
      </c>
      <c r="F654" s="21">
        <f>I616</f>
        <v>477000</v>
      </c>
      <c r="H654" s="21">
        <f>'Rec.Data System-IN'!T25</f>
        <v>0</v>
      </c>
      <c r="I654" s="22">
        <f t="shared" si="9"/>
        <v>477000</v>
      </c>
    </row>
    <row r="655" spans="2:9" x14ac:dyDescent="0.2">
      <c r="B655" s="20"/>
      <c r="C655" s="19" t="s">
        <v>34</v>
      </c>
      <c r="F655" s="21">
        <f>I621</f>
        <v>29389</v>
      </c>
      <c r="H655" s="21">
        <f>'Rec.Data System-IN'!U25</f>
        <v>79000</v>
      </c>
      <c r="I655" s="22">
        <f t="shared" si="9"/>
        <v>108389</v>
      </c>
    </row>
    <row r="656" spans="2:9" x14ac:dyDescent="0.2">
      <c r="B656" s="20"/>
      <c r="C656" s="19" t="s">
        <v>105</v>
      </c>
      <c r="F656" s="21">
        <f>I626</f>
        <v>851000</v>
      </c>
      <c r="H656" s="21">
        <f>'Rec.Data System-IN'!V25</f>
        <v>1856000</v>
      </c>
      <c r="I656" s="22">
        <f t="shared" si="9"/>
        <v>2707000</v>
      </c>
    </row>
    <row r="657" spans="2:9" x14ac:dyDescent="0.2">
      <c r="B657" s="20"/>
      <c r="C657" s="19" t="s">
        <v>106</v>
      </c>
      <c r="F657" s="110">
        <f>I634</f>
        <v>19410780</v>
      </c>
      <c r="H657" s="21">
        <f>'Rec.Data System-IN'!W25</f>
        <v>18141313</v>
      </c>
      <c r="I657" s="22">
        <f t="shared" si="9"/>
        <v>37552093</v>
      </c>
    </row>
    <row r="658" spans="2:9" x14ac:dyDescent="0.2">
      <c r="B658" s="20"/>
      <c r="I658" s="22"/>
    </row>
    <row r="659" spans="2:9" ht="15.75" thickBot="1" x14ac:dyDescent="0.3">
      <c r="B659" s="20"/>
      <c r="C659" s="19" t="s">
        <v>25</v>
      </c>
      <c r="I659" s="83">
        <f>SUM(I653:I657)</f>
        <v>121651413</v>
      </c>
    </row>
    <row r="660" spans="2:9" ht="15" thickTop="1" x14ac:dyDescent="0.2">
      <c r="B660" s="20"/>
      <c r="I660" s="22"/>
    </row>
    <row r="661" spans="2:9" ht="21.75" x14ac:dyDescent="0.2">
      <c r="B661" s="111"/>
      <c r="C661" s="103" t="s">
        <v>26</v>
      </c>
      <c r="D661" s="103"/>
      <c r="E661" s="103"/>
      <c r="F661" s="103"/>
      <c r="G661" s="103"/>
      <c r="H661" s="103"/>
      <c r="I661" s="112"/>
    </row>
    <row r="662" spans="2:9" x14ac:dyDescent="0.2">
      <c r="B662" s="20"/>
      <c r="F662" s="19"/>
      <c r="H662" s="19"/>
      <c r="I662" s="22"/>
    </row>
    <row r="663" spans="2:9" ht="21.75" x14ac:dyDescent="0.2">
      <c r="B663" s="108"/>
      <c r="C663" s="102" t="s">
        <v>65</v>
      </c>
      <c r="D663" s="100"/>
      <c r="E663" s="102" t="s">
        <v>145</v>
      </c>
      <c r="F663" s="104" t="s">
        <v>114</v>
      </c>
      <c r="G663" s="101"/>
      <c r="H663" s="101"/>
      <c r="I663" s="109"/>
    </row>
    <row r="664" spans="2:9" x14ac:dyDescent="0.2">
      <c r="B664" s="80"/>
      <c r="F664" s="19" t="s">
        <v>113</v>
      </c>
      <c r="H664" s="113"/>
      <c r="I664" s="22"/>
    </row>
    <row r="665" spans="2:9" x14ac:dyDescent="0.2">
      <c r="B665" s="80"/>
      <c r="F665" s="19"/>
      <c r="H665" s="113"/>
      <c r="I665" s="22"/>
    </row>
    <row r="666" spans="2:9" x14ac:dyDescent="0.2">
      <c r="B666" s="80">
        <v>1</v>
      </c>
      <c r="C666" s="19" t="s">
        <v>695</v>
      </c>
      <c r="E666" s="19" t="s">
        <v>666</v>
      </c>
      <c r="F666" s="19" t="s">
        <v>135</v>
      </c>
      <c r="G666" s="19"/>
      <c r="H666" s="114">
        <v>3800000</v>
      </c>
      <c r="I666" s="22"/>
    </row>
    <row r="667" spans="2:9" x14ac:dyDescent="0.2">
      <c r="B667" s="80">
        <v>2</v>
      </c>
      <c r="C667" s="19" t="s">
        <v>696</v>
      </c>
      <c r="E667" s="19" t="s">
        <v>667</v>
      </c>
      <c r="F667" s="19" t="s">
        <v>135</v>
      </c>
      <c r="G667" s="19"/>
      <c r="H667" s="114">
        <v>600000</v>
      </c>
      <c r="I667" s="22"/>
    </row>
    <row r="668" spans="2:9" x14ac:dyDescent="0.2">
      <c r="B668" s="80">
        <v>3</v>
      </c>
      <c r="C668" s="19" t="s">
        <v>697</v>
      </c>
      <c r="E668" s="19" t="s">
        <v>668</v>
      </c>
      <c r="F668" s="19" t="s">
        <v>135</v>
      </c>
      <c r="G668" s="19"/>
      <c r="H668" s="114">
        <v>418740</v>
      </c>
      <c r="I668" s="22"/>
    </row>
    <row r="669" spans="2:9" x14ac:dyDescent="0.2">
      <c r="B669" s="80">
        <v>4</v>
      </c>
      <c r="C669" s="19" t="s">
        <v>698</v>
      </c>
      <c r="E669" s="19" t="s">
        <v>669</v>
      </c>
      <c r="F669" s="19" t="s">
        <v>135</v>
      </c>
      <c r="G669" s="19"/>
      <c r="H669" s="114">
        <v>1000000</v>
      </c>
      <c r="I669" s="22"/>
    </row>
    <row r="670" spans="2:9" x14ac:dyDescent="0.2">
      <c r="B670" s="80">
        <v>5</v>
      </c>
      <c r="C670" s="19" t="s">
        <v>699</v>
      </c>
      <c r="E670" s="19" t="s">
        <v>670</v>
      </c>
      <c r="F670" s="19" t="s">
        <v>135</v>
      </c>
      <c r="G670" s="19"/>
      <c r="H670" s="114">
        <v>500000</v>
      </c>
      <c r="I670" s="22"/>
    </row>
    <row r="671" spans="2:9" x14ac:dyDescent="0.2">
      <c r="B671" s="80">
        <v>6</v>
      </c>
      <c r="C671" s="19" t="s">
        <v>700</v>
      </c>
      <c r="E671" s="19" t="s">
        <v>671</v>
      </c>
      <c r="F671" s="19" t="s">
        <v>135</v>
      </c>
      <c r="G671" s="19"/>
      <c r="H671" s="114">
        <v>400000</v>
      </c>
      <c r="I671" s="22"/>
    </row>
    <row r="672" spans="2:9" x14ac:dyDescent="0.2">
      <c r="B672" s="80">
        <v>7</v>
      </c>
      <c r="C672" s="19" t="s">
        <v>703</v>
      </c>
      <c r="E672" s="19" t="s">
        <v>674</v>
      </c>
      <c r="F672" s="19" t="s">
        <v>135</v>
      </c>
      <c r="G672" s="19"/>
      <c r="H672" s="114">
        <v>3000000</v>
      </c>
      <c r="I672" s="22"/>
    </row>
    <row r="673" spans="2:15" x14ac:dyDescent="0.2">
      <c r="B673" s="80">
        <v>8</v>
      </c>
      <c r="C673" s="19" t="s">
        <v>704</v>
      </c>
      <c r="E673" s="19" t="s">
        <v>675</v>
      </c>
      <c r="F673" s="19" t="s">
        <v>135</v>
      </c>
      <c r="G673" s="19"/>
      <c r="H673" s="114">
        <v>1850968</v>
      </c>
      <c r="I673" s="22"/>
    </row>
    <row r="674" spans="2:15" x14ac:dyDescent="0.2">
      <c r="B674" s="80">
        <v>9</v>
      </c>
      <c r="C674" s="19" t="s">
        <v>705</v>
      </c>
      <c r="E674" s="19" t="s">
        <v>676</v>
      </c>
      <c r="F674" s="19" t="s">
        <v>135</v>
      </c>
      <c r="G674" s="19"/>
      <c r="H674" s="114">
        <v>1000000</v>
      </c>
      <c r="I674" s="22"/>
    </row>
    <row r="675" spans="2:15" x14ac:dyDescent="0.2">
      <c r="B675" s="80">
        <v>10</v>
      </c>
      <c r="C675" s="19" t="s">
        <v>706</v>
      </c>
      <c r="E675" s="19" t="s">
        <v>677</v>
      </c>
      <c r="F675" s="19" t="s">
        <v>135</v>
      </c>
      <c r="G675" s="19"/>
      <c r="H675" s="114">
        <v>1750000</v>
      </c>
      <c r="I675" s="22"/>
    </row>
    <row r="676" spans="2:15" x14ac:dyDescent="0.2">
      <c r="B676" s="80">
        <v>11</v>
      </c>
      <c r="C676" s="19" t="s">
        <v>707</v>
      </c>
      <c r="E676" s="19" t="s">
        <v>678</v>
      </c>
      <c r="F676" s="19" t="s">
        <v>135</v>
      </c>
      <c r="G676" s="19"/>
      <c r="H676" s="114">
        <v>600000</v>
      </c>
      <c r="I676" s="22"/>
    </row>
    <row r="677" spans="2:15" x14ac:dyDescent="0.2">
      <c r="B677" s="80">
        <v>12</v>
      </c>
      <c r="C677" s="19" t="s">
        <v>708</v>
      </c>
      <c r="E677" s="19" t="s">
        <v>679</v>
      </c>
      <c r="F677" s="19" t="s">
        <v>135</v>
      </c>
      <c r="G677" s="19"/>
      <c r="H677" s="114">
        <v>500000</v>
      </c>
      <c r="I677" s="22"/>
    </row>
    <row r="678" spans="2:15" x14ac:dyDescent="0.2">
      <c r="B678" s="80">
        <v>13</v>
      </c>
      <c r="C678" s="19" t="s">
        <v>709</v>
      </c>
      <c r="E678" s="19" t="s">
        <v>680</v>
      </c>
      <c r="F678" s="19" t="s">
        <v>135</v>
      </c>
      <c r="G678" s="19"/>
      <c r="H678" s="114">
        <v>500000</v>
      </c>
      <c r="I678" s="22"/>
    </row>
    <row r="679" spans="2:15" x14ac:dyDescent="0.2">
      <c r="B679" s="80">
        <v>14</v>
      </c>
      <c r="C679" s="19" t="s">
        <v>710</v>
      </c>
      <c r="E679" s="19" t="s">
        <v>681</v>
      </c>
      <c r="F679" s="19" t="s">
        <v>135</v>
      </c>
      <c r="G679" s="19"/>
      <c r="H679" s="114">
        <v>18000</v>
      </c>
      <c r="I679" s="22"/>
    </row>
    <row r="680" spans="2:15" x14ac:dyDescent="0.2">
      <c r="B680" s="80">
        <v>15</v>
      </c>
      <c r="C680" s="19" t="s">
        <v>711</v>
      </c>
      <c r="E680" s="19" t="s">
        <v>682</v>
      </c>
      <c r="F680" s="19" t="s">
        <v>135</v>
      </c>
      <c r="G680" s="19"/>
      <c r="H680" s="114">
        <v>280000</v>
      </c>
      <c r="I680" s="22"/>
    </row>
    <row r="681" spans="2:15" x14ac:dyDescent="0.2">
      <c r="B681" s="80">
        <v>16</v>
      </c>
      <c r="C681" s="19" t="s">
        <v>712</v>
      </c>
      <c r="E681" s="19" t="s">
        <v>683</v>
      </c>
      <c r="F681" s="19" t="s">
        <v>135</v>
      </c>
      <c r="G681" s="19"/>
      <c r="H681" s="114">
        <v>300000</v>
      </c>
      <c r="I681" s="22"/>
    </row>
    <row r="682" spans="2:15" x14ac:dyDescent="0.2">
      <c r="B682" s="80">
        <v>17</v>
      </c>
      <c r="C682" s="19" t="s">
        <v>713</v>
      </c>
      <c r="E682" s="19" t="s">
        <v>684</v>
      </c>
      <c r="F682" s="19" t="s">
        <v>135</v>
      </c>
      <c r="G682" s="19"/>
      <c r="H682" s="114">
        <v>1207000</v>
      </c>
      <c r="I682" s="22"/>
    </row>
    <row r="683" spans="2:15" x14ac:dyDescent="0.2">
      <c r="B683" s="80">
        <v>18</v>
      </c>
      <c r="C683" s="19" t="s">
        <v>714</v>
      </c>
      <c r="E683" s="19" t="s">
        <v>685</v>
      </c>
      <c r="F683" s="19" t="s">
        <v>135</v>
      </c>
      <c r="G683" s="19"/>
      <c r="H683" s="114">
        <v>565000</v>
      </c>
      <c r="I683" s="22"/>
    </row>
    <row r="684" spans="2:15" x14ac:dyDescent="0.2">
      <c r="B684" s="80">
        <v>19</v>
      </c>
      <c r="C684" s="19" t="s">
        <v>715</v>
      </c>
      <c r="E684" s="19" t="s">
        <v>686</v>
      </c>
      <c r="F684" s="19" t="s">
        <v>135</v>
      </c>
      <c r="G684" s="19"/>
      <c r="H684" s="114">
        <v>205000</v>
      </c>
      <c r="I684" s="22"/>
    </row>
    <row r="685" spans="2:15" x14ac:dyDescent="0.2">
      <c r="B685" s="80">
        <v>20</v>
      </c>
      <c r="C685" s="19" t="s">
        <v>716</v>
      </c>
      <c r="E685" s="19" t="s">
        <v>687</v>
      </c>
      <c r="F685" s="19" t="s">
        <v>135</v>
      </c>
      <c r="G685" s="19"/>
      <c r="H685" s="114">
        <v>1445850</v>
      </c>
      <c r="I685" s="22"/>
    </row>
    <row r="686" spans="2:15" x14ac:dyDescent="0.2">
      <c r="B686" s="80">
        <v>21</v>
      </c>
      <c r="C686" s="19" t="s">
        <v>719</v>
      </c>
      <c r="E686" s="19" t="s">
        <v>690</v>
      </c>
      <c r="F686" s="19" t="s">
        <v>135</v>
      </c>
      <c r="G686" s="19"/>
      <c r="H686" s="114">
        <v>27058</v>
      </c>
      <c r="I686" s="22"/>
    </row>
    <row r="687" spans="2:15" x14ac:dyDescent="0.2">
      <c r="B687" s="80">
        <v>22</v>
      </c>
      <c r="C687" s="19" t="s">
        <v>720</v>
      </c>
      <c r="E687" s="19" t="s">
        <v>691</v>
      </c>
      <c r="F687" s="19" t="s">
        <v>135</v>
      </c>
      <c r="G687" s="19"/>
      <c r="H687" s="114">
        <v>17800</v>
      </c>
      <c r="I687" s="22"/>
    </row>
    <row r="688" spans="2:15" x14ac:dyDescent="0.2">
      <c r="B688" s="80">
        <v>23</v>
      </c>
      <c r="C688" s="19" t="s">
        <v>721</v>
      </c>
      <c r="E688" s="19" t="s">
        <v>692</v>
      </c>
      <c r="F688" s="19" t="s">
        <v>135</v>
      </c>
      <c r="G688" s="19"/>
      <c r="H688" s="114">
        <v>21592000</v>
      </c>
      <c r="I688" s="22"/>
      <c r="N688" s="21"/>
      <c r="O688" s="21"/>
    </row>
    <row r="689" spans="2:15" ht="16.5" x14ac:dyDescent="0.35">
      <c r="B689" s="80">
        <v>24</v>
      </c>
      <c r="C689" s="19" t="s">
        <v>722</v>
      </c>
      <c r="E689" s="19" t="s">
        <v>693</v>
      </c>
      <c r="F689" s="19" t="s">
        <v>135</v>
      </c>
      <c r="G689" s="19"/>
      <c r="H689" s="115">
        <v>18800000</v>
      </c>
      <c r="I689" s="22"/>
      <c r="N689" s="21"/>
      <c r="O689" s="21"/>
    </row>
    <row r="690" spans="2:15" x14ac:dyDescent="0.2">
      <c r="B690" s="80"/>
      <c r="C690" s="116" t="s">
        <v>139</v>
      </c>
      <c r="F690" s="19"/>
      <c r="G690" s="19"/>
      <c r="H690" s="114">
        <f>SUM(H666:H689)</f>
        <v>60377416</v>
      </c>
      <c r="I690" s="22">
        <f>I653-H690</f>
        <v>20429515</v>
      </c>
      <c r="N690" s="21"/>
      <c r="O690" s="21"/>
    </row>
    <row r="691" spans="2:15" x14ac:dyDescent="0.2">
      <c r="B691" s="80">
        <v>1</v>
      </c>
      <c r="F691" s="19" t="s">
        <v>104</v>
      </c>
      <c r="G691" s="19"/>
      <c r="H691" s="114">
        <v>0</v>
      </c>
      <c r="I691" s="22"/>
      <c r="N691" s="21"/>
      <c r="O691" s="21"/>
    </row>
    <row r="692" spans="2:15" x14ac:dyDescent="0.2">
      <c r="B692" s="80">
        <v>2</v>
      </c>
      <c r="F692" s="19" t="s">
        <v>104</v>
      </c>
      <c r="G692" s="19"/>
      <c r="H692" s="114">
        <v>0</v>
      </c>
      <c r="I692" s="22"/>
      <c r="N692" s="21"/>
      <c r="O692" s="21"/>
    </row>
    <row r="693" spans="2:15" x14ac:dyDescent="0.2">
      <c r="B693" s="80">
        <v>3</v>
      </c>
      <c r="F693" s="19" t="s">
        <v>104</v>
      </c>
      <c r="G693" s="19"/>
      <c r="H693" s="114">
        <v>0</v>
      </c>
      <c r="I693" s="22"/>
      <c r="N693" s="21"/>
      <c r="O693" s="21"/>
    </row>
    <row r="694" spans="2:15" ht="16.5" x14ac:dyDescent="0.35">
      <c r="B694" s="80">
        <v>4</v>
      </c>
      <c r="F694" s="19" t="s">
        <v>104</v>
      </c>
      <c r="G694" s="19"/>
      <c r="H694" s="115">
        <v>0</v>
      </c>
      <c r="I694" s="22"/>
      <c r="N694" s="21"/>
      <c r="O694" s="21"/>
    </row>
    <row r="695" spans="2:15" x14ac:dyDescent="0.2">
      <c r="B695" s="80"/>
      <c r="C695" s="116" t="s">
        <v>140</v>
      </c>
      <c r="F695" s="19"/>
      <c r="G695" s="19"/>
      <c r="H695" s="114">
        <f>SUM(H691:H694)</f>
        <v>0</v>
      </c>
      <c r="I695" s="22">
        <f>I654-H695</f>
        <v>477000</v>
      </c>
      <c r="N695" s="21"/>
      <c r="O695" s="21"/>
    </row>
    <row r="696" spans="2:15" x14ac:dyDescent="0.2">
      <c r="B696" s="80">
        <v>1</v>
      </c>
      <c r="F696" s="19" t="s">
        <v>34</v>
      </c>
      <c r="G696" s="19"/>
      <c r="H696" s="114">
        <v>0</v>
      </c>
      <c r="I696" s="22"/>
      <c r="N696" s="21"/>
      <c r="O696" s="21"/>
    </row>
    <row r="697" spans="2:15" x14ac:dyDescent="0.2">
      <c r="B697" s="80">
        <v>2</v>
      </c>
      <c r="F697" s="19" t="s">
        <v>34</v>
      </c>
      <c r="G697" s="19"/>
      <c r="H697" s="114">
        <v>0</v>
      </c>
      <c r="I697" s="22"/>
      <c r="N697" s="21"/>
      <c r="O697" s="21"/>
    </row>
    <row r="698" spans="2:15" x14ac:dyDescent="0.2">
      <c r="B698" s="80">
        <v>3</v>
      </c>
      <c r="F698" s="19" t="s">
        <v>34</v>
      </c>
      <c r="G698" s="19"/>
      <c r="H698" s="114">
        <v>0</v>
      </c>
      <c r="I698" s="22"/>
      <c r="N698" s="21"/>
      <c r="O698" s="21"/>
    </row>
    <row r="699" spans="2:15" ht="16.5" x14ac:dyDescent="0.35">
      <c r="B699" s="80">
        <v>4</v>
      </c>
      <c r="F699" s="19" t="s">
        <v>34</v>
      </c>
      <c r="G699" s="19"/>
      <c r="H699" s="115">
        <v>0</v>
      </c>
      <c r="I699" s="22"/>
      <c r="N699" s="21"/>
      <c r="O699" s="21"/>
    </row>
    <row r="700" spans="2:15" x14ac:dyDescent="0.2">
      <c r="B700" s="80"/>
      <c r="C700" s="116" t="s">
        <v>141</v>
      </c>
      <c r="F700" s="19"/>
      <c r="G700" s="19"/>
      <c r="H700" s="114">
        <f>SUM(H696:H699)</f>
        <v>0</v>
      </c>
      <c r="I700" s="22">
        <f>I655-H700</f>
        <v>108389</v>
      </c>
      <c r="N700" s="21"/>
      <c r="O700" s="21"/>
    </row>
    <row r="701" spans="2:15" x14ac:dyDescent="0.2">
      <c r="B701" s="80">
        <v>1</v>
      </c>
      <c r="F701" s="19" t="s">
        <v>105</v>
      </c>
      <c r="G701" s="19"/>
      <c r="H701" s="114">
        <v>0</v>
      </c>
      <c r="I701" s="22"/>
      <c r="N701" s="21"/>
      <c r="O701" s="21"/>
    </row>
    <row r="702" spans="2:15" x14ac:dyDescent="0.2">
      <c r="B702" s="80">
        <v>2</v>
      </c>
      <c r="F702" s="19" t="s">
        <v>105</v>
      </c>
      <c r="G702" s="19"/>
      <c r="H702" s="114">
        <v>0</v>
      </c>
      <c r="I702" s="22"/>
      <c r="N702" s="21"/>
      <c r="O702" s="21"/>
    </row>
    <row r="703" spans="2:15" x14ac:dyDescent="0.2">
      <c r="B703" s="80">
        <v>3</v>
      </c>
      <c r="F703" s="19" t="s">
        <v>105</v>
      </c>
      <c r="G703" s="19"/>
      <c r="H703" s="114">
        <v>0</v>
      </c>
      <c r="I703" s="22"/>
      <c r="N703" s="21"/>
      <c r="O703" s="21"/>
    </row>
    <row r="704" spans="2:15" ht="16.5" x14ac:dyDescent="0.35">
      <c r="B704" s="80">
        <v>4</v>
      </c>
      <c r="F704" s="19" t="s">
        <v>105</v>
      </c>
      <c r="G704" s="19"/>
      <c r="H704" s="115">
        <v>0</v>
      </c>
      <c r="I704" s="22"/>
      <c r="N704" s="21"/>
      <c r="O704" s="21"/>
    </row>
    <row r="705" spans="2:15" x14ac:dyDescent="0.2">
      <c r="B705" s="80"/>
      <c r="C705" s="116" t="s">
        <v>142</v>
      </c>
      <c r="F705" s="19"/>
      <c r="G705" s="19"/>
      <c r="H705" s="114">
        <f>SUM(H701:H704)</f>
        <v>0</v>
      </c>
      <c r="I705" s="22">
        <f>I656-H705</f>
        <v>2707000</v>
      </c>
      <c r="N705" s="21"/>
      <c r="O705" s="21"/>
    </row>
    <row r="706" spans="2:15" x14ac:dyDescent="0.2">
      <c r="B706" s="80">
        <v>1</v>
      </c>
      <c r="C706" s="19" t="s">
        <v>701</v>
      </c>
      <c r="E706" s="19" t="s">
        <v>672</v>
      </c>
      <c r="F706" s="19" t="s">
        <v>143</v>
      </c>
      <c r="G706" s="19"/>
      <c r="H706" s="114">
        <v>4600000</v>
      </c>
      <c r="I706" s="22"/>
      <c r="N706" s="21"/>
      <c r="O706" s="21"/>
    </row>
    <row r="707" spans="2:15" x14ac:dyDescent="0.2">
      <c r="B707" s="80">
        <v>2</v>
      </c>
      <c r="C707" s="19" t="s">
        <v>702</v>
      </c>
      <c r="E707" s="19" t="s">
        <v>673</v>
      </c>
      <c r="F707" s="19" t="s">
        <v>143</v>
      </c>
      <c r="G707" s="19"/>
      <c r="H707" s="114">
        <v>250000</v>
      </c>
      <c r="I707" s="22"/>
      <c r="N707" s="21"/>
      <c r="O707" s="21"/>
    </row>
    <row r="708" spans="2:15" x14ac:dyDescent="0.2">
      <c r="B708" s="80">
        <v>3</v>
      </c>
      <c r="C708" s="19" t="s">
        <v>717</v>
      </c>
      <c r="E708" s="19" t="s">
        <v>688</v>
      </c>
      <c r="F708" s="19" t="s">
        <v>143</v>
      </c>
      <c r="G708" s="19"/>
      <c r="H708" s="114">
        <v>150000</v>
      </c>
      <c r="I708" s="22"/>
      <c r="N708" s="21"/>
      <c r="O708" s="21"/>
    </row>
    <row r="709" spans="2:15" x14ac:dyDescent="0.2">
      <c r="B709" s="80">
        <v>4</v>
      </c>
      <c r="C709" s="19" t="s">
        <v>718</v>
      </c>
      <c r="E709" s="19" t="s">
        <v>689</v>
      </c>
      <c r="F709" s="19" t="s">
        <v>143</v>
      </c>
      <c r="G709" s="19"/>
      <c r="H709" s="114">
        <v>111000</v>
      </c>
      <c r="I709" s="22"/>
      <c r="N709" s="21"/>
      <c r="O709" s="21"/>
    </row>
    <row r="710" spans="2:15" ht="16.5" x14ac:dyDescent="0.35">
      <c r="B710" s="80">
        <v>5</v>
      </c>
      <c r="C710" s="19" t="s">
        <v>723</v>
      </c>
      <c r="E710" s="19" t="s">
        <v>694</v>
      </c>
      <c r="F710" s="19" t="s">
        <v>143</v>
      </c>
      <c r="G710" s="19"/>
      <c r="H710" s="115">
        <v>2250000</v>
      </c>
      <c r="I710" s="22"/>
      <c r="N710" s="21"/>
      <c r="O710" s="21"/>
    </row>
    <row r="711" spans="2:15" x14ac:dyDescent="0.2">
      <c r="B711" s="80"/>
      <c r="C711" s="116" t="s">
        <v>144</v>
      </c>
      <c r="F711" s="19"/>
      <c r="G711" s="19"/>
      <c r="H711" s="114">
        <f>SUM(H706:H710)</f>
        <v>7361000</v>
      </c>
      <c r="I711" s="22">
        <f>I657-H711</f>
        <v>30191093</v>
      </c>
      <c r="N711" s="21"/>
      <c r="O711" s="21"/>
    </row>
    <row r="712" spans="2:15" x14ac:dyDescent="0.2">
      <c r="B712" s="20"/>
      <c r="I712" s="22"/>
    </row>
    <row r="713" spans="2:15" ht="15" thickBot="1" x14ac:dyDescent="0.25">
      <c r="B713" s="20"/>
      <c r="C713" s="19" t="s">
        <v>27</v>
      </c>
      <c r="H713" s="117">
        <f>H690+H695+H700+H705+H711</f>
        <v>67738416</v>
      </c>
      <c r="I713" s="81"/>
    </row>
    <row r="714" spans="2:15" x14ac:dyDescent="0.2">
      <c r="B714" s="20"/>
      <c r="I714" s="22"/>
    </row>
    <row r="715" spans="2:15" ht="15" x14ac:dyDescent="0.25">
      <c r="B715" s="20"/>
      <c r="C715" s="19" t="s">
        <v>28</v>
      </c>
      <c r="H715" s="19"/>
      <c r="I715" s="82">
        <f>I659-H713</f>
        <v>53912997</v>
      </c>
    </row>
    <row r="716" spans="2:15" x14ac:dyDescent="0.2">
      <c r="B716" s="24"/>
      <c r="C716" s="25"/>
      <c r="D716" s="25"/>
      <c r="E716" s="25"/>
      <c r="F716" s="23"/>
      <c r="G716" s="23"/>
      <c r="H716" s="23"/>
      <c r="I716" s="37"/>
    </row>
    <row r="720" spans="2:15" ht="28.9" customHeight="1" thickBot="1" x14ac:dyDescent="0.25">
      <c r="B720" s="192" t="str">
        <f>B16</f>
        <v>KIWI</v>
      </c>
      <c r="C720" s="193"/>
      <c r="D720" s="193"/>
      <c r="E720" s="193"/>
      <c r="F720" s="193"/>
      <c r="G720" s="193"/>
      <c r="H720" s="193"/>
      <c r="I720" s="193"/>
    </row>
    <row r="721" spans="2:9" ht="21.75" x14ac:dyDescent="0.2">
      <c r="B721" s="194" t="s">
        <v>21</v>
      </c>
      <c r="C721" s="194"/>
      <c r="D721" s="194"/>
      <c r="E721" s="194"/>
      <c r="F721" s="194"/>
      <c r="G721" s="194"/>
      <c r="H721" s="194"/>
      <c r="I721" s="195"/>
    </row>
    <row r="722" spans="2:9" ht="21.75" x14ac:dyDescent="0.2">
      <c r="B722" s="186" t="s">
        <v>192</v>
      </c>
      <c r="C722" s="186"/>
      <c r="D722" s="186"/>
      <c r="E722" s="186"/>
      <c r="F722" s="186"/>
      <c r="G722" s="186"/>
      <c r="H722" s="186"/>
      <c r="I722" s="196"/>
    </row>
    <row r="724" spans="2:9" ht="21.75" x14ac:dyDescent="0.2">
      <c r="B724" s="105"/>
      <c r="C724" s="106" t="s">
        <v>22</v>
      </c>
      <c r="D724" s="106"/>
      <c r="E724" s="106"/>
      <c r="F724" s="106"/>
      <c r="G724" s="106"/>
      <c r="H724" s="106"/>
      <c r="I724" s="107"/>
    </row>
    <row r="725" spans="2:9" x14ac:dyDescent="0.2">
      <c r="B725" s="20"/>
      <c r="I725" s="22"/>
    </row>
    <row r="726" spans="2:9" ht="21.75" x14ac:dyDescent="0.2">
      <c r="B726" s="108"/>
      <c r="C726" s="102" t="s">
        <v>63</v>
      </c>
      <c r="D726" s="100"/>
      <c r="E726" s="100"/>
      <c r="F726" s="101" t="s">
        <v>115</v>
      </c>
      <c r="G726" s="101"/>
      <c r="H726" s="101" t="s">
        <v>116</v>
      </c>
      <c r="I726" s="109" t="s">
        <v>17</v>
      </c>
    </row>
    <row r="727" spans="2:9" x14ac:dyDescent="0.2">
      <c r="B727" s="20"/>
      <c r="I727" s="22"/>
    </row>
    <row r="728" spans="2:9" x14ac:dyDescent="0.2">
      <c r="B728" s="20"/>
      <c r="C728" s="19" t="s">
        <v>23</v>
      </c>
      <c r="H728" s="21">
        <f>'Rec.Data System-IN'!R26</f>
        <v>1791516</v>
      </c>
      <c r="I728" s="22">
        <f t="shared" ref="I728:I734" si="10">F728+H728</f>
        <v>1791516</v>
      </c>
    </row>
    <row r="729" spans="2:9" x14ac:dyDescent="0.2">
      <c r="B729" s="20"/>
      <c r="C729" s="19" t="s">
        <v>24</v>
      </c>
      <c r="H729" s="110">
        <f>'Rec.Data System-IN'!S26</f>
        <v>25668172</v>
      </c>
      <c r="I729" s="22">
        <f t="shared" si="10"/>
        <v>25668172</v>
      </c>
    </row>
    <row r="730" spans="2:9" ht="25.5" customHeight="1" x14ac:dyDescent="0.2">
      <c r="B730" s="20"/>
      <c r="C730" s="7" t="s">
        <v>81</v>
      </c>
      <c r="F730" s="21">
        <f>I690</f>
        <v>20429515</v>
      </c>
      <c r="H730" s="21">
        <f>SUM(H728:H729)</f>
        <v>27459688</v>
      </c>
      <c r="I730" s="22">
        <f t="shared" si="10"/>
        <v>47889203</v>
      </c>
    </row>
    <row r="731" spans="2:9" x14ac:dyDescent="0.2">
      <c r="B731" s="20"/>
      <c r="C731" s="19" t="s">
        <v>104</v>
      </c>
      <c r="F731" s="21">
        <f>I695</f>
        <v>477000</v>
      </c>
      <c r="H731" s="21">
        <f>'Rec.Data System-IN'!T26</f>
        <v>0</v>
      </c>
      <c r="I731" s="22">
        <f t="shared" si="10"/>
        <v>477000</v>
      </c>
    </row>
    <row r="732" spans="2:9" x14ac:dyDescent="0.2">
      <c r="B732" s="20"/>
      <c r="C732" s="19" t="s">
        <v>34</v>
      </c>
      <c r="F732" s="21">
        <f>I700</f>
        <v>108389</v>
      </c>
      <c r="H732" s="21">
        <f>'Rec.Data System-IN'!U26</f>
        <v>125000</v>
      </c>
      <c r="I732" s="22">
        <f t="shared" si="10"/>
        <v>233389</v>
      </c>
    </row>
    <row r="733" spans="2:9" x14ac:dyDescent="0.2">
      <c r="B733" s="20"/>
      <c r="C733" s="19" t="s">
        <v>105</v>
      </c>
      <c r="F733" s="21">
        <f>I705</f>
        <v>2707000</v>
      </c>
      <c r="H733" s="21">
        <f>'Rec.Data System-IN'!V26</f>
        <v>728000</v>
      </c>
      <c r="I733" s="22">
        <f t="shared" si="10"/>
        <v>3435000</v>
      </c>
    </row>
    <row r="734" spans="2:9" x14ac:dyDescent="0.2">
      <c r="B734" s="20"/>
      <c r="C734" s="19" t="s">
        <v>106</v>
      </c>
      <c r="F734" s="110">
        <f>I711</f>
        <v>30191093</v>
      </c>
      <c r="H734" s="21">
        <f>'Rec.Data System-IN'!W26</f>
        <v>72422145</v>
      </c>
      <c r="I734" s="22">
        <f t="shared" si="10"/>
        <v>102613238</v>
      </c>
    </row>
    <row r="735" spans="2:9" x14ac:dyDescent="0.2">
      <c r="B735" s="20"/>
      <c r="I735" s="22"/>
    </row>
    <row r="736" spans="2:9" ht="15.75" thickBot="1" x14ac:dyDescent="0.3">
      <c r="B736" s="20"/>
      <c r="C736" s="19" t="s">
        <v>25</v>
      </c>
      <c r="I736" s="83">
        <f>SUM(I730:I734)</f>
        <v>154647830</v>
      </c>
    </row>
    <row r="737" spans="2:9" ht="15" thickTop="1" x14ac:dyDescent="0.2">
      <c r="B737" s="20"/>
      <c r="I737" s="22"/>
    </row>
    <row r="738" spans="2:9" ht="21.75" x14ac:dyDescent="0.2">
      <c r="B738" s="111"/>
      <c r="C738" s="103" t="s">
        <v>26</v>
      </c>
      <c r="D738" s="103"/>
      <c r="E738" s="103"/>
      <c r="F738" s="103"/>
      <c r="G738" s="103"/>
      <c r="H738" s="103"/>
      <c r="I738" s="112"/>
    </row>
    <row r="739" spans="2:9" x14ac:dyDescent="0.2">
      <c r="B739" s="20"/>
      <c r="F739" s="19"/>
      <c r="H739" s="19"/>
      <c r="I739" s="22"/>
    </row>
    <row r="740" spans="2:9" ht="21.75" x14ac:dyDescent="0.2">
      <c r="B740" s="108"/>
      <c r="C740" s="102" t="s">
        <v>65</v>
      </c>
      <c r="D740" s="100"/>
      <c r="E740" s="102" t="s">
        <v>145</v>
      </c>
      <c r="F740" s="104" t="s">
        <v>114</v>
      </c>
      <c r="G740" s="101"/>
      <c r="H740" s="101"/>
      <c r="I740" s="109"/>
    </row>
    <row r="741" spans="2:9" x14ac:dyDescent="0.2">
      <c r="B741" s="80"/>
      <c r="F741" s="19" t="s">
        <v>113</v>
      </c>
      <c r="H741" s="113"/>
      <c r="I741" s="22"/>
    </row>
    <row r="742" spans="2:9" x14ac:dyDescent="0.2">
      <c r="B742" s="80"/>
      <c r="F742" s="19"/>
      <c r="H742" s="113"/>
      <c r="I742" s="22"/>
    </row>
    <row r="743" spans="2:9" x14ac:dyDescent="0.2">
      <c r="B743" s="80">
        <v>1</v>
      </c>
      <c r="C743" s="19" t="s">
        <v>757</v>
      </c>
      <c r="E743" s="19" t="s">
        <v>728</v>
      </c>
      <c r="F743" s="19" t="s">
        <v>135</v>
      </c>
      <c r="G743" s="19"/>
      <c r="H743" s="114">
        <v>200000</v>
      </c>
      <c r="I743" s="22"/>
    </row>
    <row r="744" spans="2:9" x14ac:dyDescent="0.2">
      <c r="B744" s="80">
        <v>2</v>
      </c>
      <c r="C744" s="19" t="s">
        <v>758</v>
      </c>
      <c r="E744" s="19" t="s">
        <v>729</v>
      </c>
      <c r="F744" s="19" t="s">
        <v>135</v>
      </c>
      <c r="G744" s="19"/>
      <c r="H744" s="114">
        <v>2800000</v>
      </c>
      <c r="I744" s="22"/>
    </row>
    <row r="745" spans="2:9" x14ac:dyDescent="0.2">
      <c r="B745" s="80">
        <v>3</v>
      </c>
      <c r="C745" s="19" t="s">
        <v>759</v>
      </c>
      <c r="E745" s="19" t="s">
        <v>730</v>
      </c>
      <c r="F745" s="19" t="s">
        <v>135</v>
      </c>
      <c r="G745" s="19"/>
      <c r="H745" s="114">
        <v>300000</v>
      </c>
      <c r="I745" s="22"/>
    </row>
    <row r="746" spans="2:9" x14ac:dyDescent="0.2">
      <c r="B746" s="80">
        <v>4</v>
      </c>
      <c r="C746" s="19" t="s">
        <v>566</v>
      </c>
      <c r="E746" s="19" t="s">
        <v>731</v>
      </c>
      <c r="F746" s="19" t="s">
        <v>135</v>
      </c>
      <c r="G746" s="19"/>
      <c r="H746" s="114">
        <v>300000</v>
      </c>
      <c r="I746" s="22"/>
    </row>
    <row r="747" spans="2:9" x14ac:dyDescent="0.2">
      <c r="B747" s="80">
        <v>5</v>
      </c>
      <c r="C747" s="19" t="s">
        <v>760</v>
      </c>
      <c r="E747" s="19" t="s">
        <v>732</v>
      </c>
      <c r="F747" s="19" t="s">
        <v>135</v>
      </c>
      <c r="G747" s="19"/>
      <c r="H747" s="114">
        <v>821039</v>
      </c>
      <c r="I747" s="22"/>
    </row>
    <row r="748" spans="2:9" x14ac:dyDescent="0.2">
      <c r="B748" s="80">
        <v>6</v>
      </c>
      <c r="C748" s="19" t="s">
        <v>761</v>
      </c>
      <c r="E748" s="19" t="s">
        <v>733</v>
      </c>
      <c r="F748" s="19" t="s">
        <v>135</v>
      </c>
      <c r="G748" s="19"/>
      <c r="H748" s="114">
        <v>1000000</v>
      </c>
      <c r="I748" s="22"/>
    </row>
    <row r="749" spans="2:9" x14ac:dyDescent="0.2">
      <c r="B749" s="80">
        <v>7</v>
      </c>
      <c r="C749" s="19" t="s">
        <v>762</v>
      </c>
      <c r="E749" s="19" t="s">
        <v>734</v>
      </c>
      <c r="F749" s="19" t="s">
        <v>135</v>
      </c>
      <c r="G749" s="19"/>
      <c r="H749" s="114">
        <v>350000</v>
      </c>
      <c r="I749" s="22"/>
    </row>
    <row r="750" spans="2:9" x14ac:dyDescent="0.2">
      <c r="B750" s="80">
        <v>8</v>
      </c>
      <c r="C750" s="19" t="s">
        <v>763</v>
      </c>
      <c r="E750" s="19" t="s">
        <v>735</v>
      </c>
      <c r="F750" s="19" t="s">
        <v>135</v>
      </c>
      <c r="G750" s="19"/>
      <c r="H750" s="114">
        <v>200000</v>
      </c>
      <c r="I750" s="22"/>
    </row>
    <row r="751" spans="2:9" x14ac:dyDescent="0.2">
      <c r="B751" s="80">
        <v>9</v>
      </c>
      <c r="C751" s="19" t="s">
        <v>765</v>
      </c>
      <c r="E751" s="19" t="s">
        <v>737</v>
      </c>
      <c r="F751" s="19" t="s">
        <v>135</v>
      </c>
      <c r="G751" s="19"/>
      <c r="H751" s="114">
        <v>2250000</v>
      </c>
      <c r="I751" s="22"/>
    </row>
    <row r="752" spans="2:9" x14ac:dyDescent="0.2">
      <c r="B752" s="80">
        <v>10</v>
      </c>
      <c r="C752" s="19" t="s">
        <v>766</v>
      </c>
      <c r="E752" s="19" t="s">
        <v>738</v>
      </c>
      <c r="F752" s="19" t="s">
        <v>135</v>
      </c>
      <c r="G752" s="19"/>
      <c r="H752" s="114">
        <v>1777479</v>
      </c>
      <c r="I752" s="22"/>
    </row>
    <row r="753" spans="2:15" x14ac:dyDescent="0.2">
      <c r="B753" s="80">
        <v>11</v>
      </c>
      <c r="C753" s="19" t="s">
        <v>767</v>
      </c>
      <c r="E753" s="19" t="s">
        <v>739</v>
      </c>
      <c r="F753" s="19" t="s">
        <v>135</v>
      </c>
      <c r="G753" s="19"/>
      <c r="H753" s="114">
        <v>900000</v>
      </c>
      <c r="I753" s="22"/>
    </row>
    <row r="754" spans="2:15" x14ac:dyDescent="0.2">
      <c r="B754" s="80">
        <v>12</v>
      </c>
      <c r="C754" s="19" t="s">
        <v>768</v>
      </c>
      <c r="E754" s="19" t="s">
        <v>740</v>
      </c>
      <c r="F754" s="19" t="s">
        <v>135</v>
      </c>
      <c r="G754" s="19"/>
      <c r="H754" s="114">
        <v>500000</v>
      </c>
      <c r="I754" s="22"/>
    </row>
    <row r="755" spans="2:15" x14ac:dyDescent="0.2">
      <c r="B755" s="80">
        <v>13</v>
      </c>
      <c r="C755" s="19" t="s">
        <v>769</v>
      </c>
      <c r="E755" s="19" t="s">
        <v>741</v>
      </c>
      <c r="F755" s="19" t="s">
        <v>135</v>
      </c>
      <c r="G755" s="19"/>
      <c r="H755" s="114">
        <v>500000</v>
      </c>
      <c r="I755" s="22"/>
    </row>
    <row r="756" spans="2:15" x14ac:dyDescent="0.2">
      <c r="B756" s="80">
        <v>14</v>
      </c>
      <c r="C756" s="19" t="s">
        <v>770</v>
      </c>
      <c r="E756" s="19" t="s">
        <v>742</v>
      </c>
      <c r="F756" s="19" t="s">
        <v>135</v>
      </c>
      <c r="G756" s="19"/>
      <c r="H756" s="114">
        <v>500000</v>
      </c>
      <c r="I756" s="22"/>
    </row>
    <row r="757" spans="2:15" x14ac:dyDescent="0.2">
      <c r="B757" s="80">
        <v>15</v>
      </c>
      <c r="C757" s="19" t="s">
        <v>771</v>
      </c>
      <c r="E757" s="19" t="s">
        <v>743</v>
      </c>
      <c r="F757" s="19" t="s">
        <v>135</v>
      </c>
      <c r="G757" s="19"/>
      <c r="H757" s="114">
        <v>310000</v>
      </c>
      <c r="I757" s="22"/>
    </row>
    <row r="758" spans="2:15" x14ac:dyDescent="0.2">
      <c r="B758" s="80">
        <v>16</v>
      </c>
      <c r="C758" s="19" t="s">
        <v>772</v>
      </c>
      <c r="E758" s="19" t="s">
        <v>744</v>
      </c>
      <c r="F758" s="19" t="s">
        <v>135</v>
      </c>
      <c r="G758" s="19"/>
      <c r="H758" s="114">
        <v>558000</v>
      </c>
      <c r="I758" s="22"/>
    </row>
    <row r="759" spans="2:15" x14ac:dyDescent="0.2">
      <c r="B759" s="80">
        <v>17</v>
      </c>
      <c r="C759" s="19" t="s">
        <v>773</v>
      </c>
      <c r="E759" s="19" t="s">
        <v>745</v>
      </c>
      <c r="F759" s="19" t="s">
        <v>135</v>
      </c>
      <c r="G759" s="19"/>
      <c r="H759" s="114">
        <v>1400000</v>
      </c>
      <c r="I759" s="22"/>
    </row>
    <row r="760" spans="2:15" x14ac:dyDescent="0.2">
      <c r="B760" s="80">
        <v>18</v>
      </c>
      <c r="C760" s="19" t="s">
        <v>774</v>
      </c>
      <c r="E760" s="19" t="s">
        <v>746</v>
      </c>
      <c r="F760" s="19" t="s">
        <v>135</v>
      </c>
      <c r="G760" s="19"/>
      <c r="H760" s="114">
        <v>705000</v>
      </c>
      <c r="I760" s="22"/>
    </row>
    <row r="761" spans="2:15" x14ac:dyDescent="0.2">
      <c r="B761" s="80">
        <v>19</v>
      </c>
      <c r="C761" s="19" t="s">
        <v>776</v>
      </c>
      <c r="E761" s="19" t="s">
        <v>748</v>
      </c>
      <c r="F761" s="19" t="s">
        <v>135</v>
      </c>
      <c r="G761" s="19"/>
      <c r="H761" s="114">
        <v>2500000</v>
      </c>
      <c r="I761" s="22"/>
    </row>
    <row r="762" spans="2:15" x14ac:dyDescent="0.2">
      <c r="B762" s="80">
        <v>20</v>
      </c>
      <c r="C762" s="19" t="s">
        <v>779</v>
      </c>
      <c r="E762" s="19" t="s">
        <v>751</v>
      </c>
      <c r="F762" s="19" t="s">
        <v>135</v>
      </c>
      <c r="G762" s="19"/>
      <c r="H762" s="114">
        <v>30000</v>
      </c>
      <c r="I762" s="22"/>
    </row>
    <row r="763" spans="2:15" x14ac:dyDescent="0.2">
      <c r="B763" s="80">
        <v>21</v>
      </c>
      <c r="C763" s="19" t="s">
        <v>780</v>
      </c>
      <c r="E763" s="19" t="s">
        <v>752</v>
      </c>
      <c r="F763" s="19" t="s">
        <v>135</v>
      </c>
      <c r="G763" s="19"/>
      <c r="H763" s="114">
        <v>28800</v>
      </c>
      <c r="I763" s="22"/>
    </row>
    <row r="764" spans="2:15" x14ac:dyDescent="0.2">
      <c r="B764" s="80">
        <v>22</v>
      </c>
      <c r="C764" s="19" t="s">
        <v>783</v>
      </c>
      <c r="E764" s="19" t="s">
        <v>755</v>
      </c>
      <c r="F764" s="19" t="s">
        <v>135</v>
      </c>
      <c r="G764" s="19"/>
      <c r="H764" s="114">
        <v>2141</v>
      </c>
      <c r="I764" s="22"/>
      <c r="N764" s="21"/>
      <c r="O764" s="21"/>
    </row>
    <row r="765" spans="2:15" ht="16.5" x14ac:dyDescent="0.35">
      <c r="B765" s="80">
        <v>23</v>
      </c>
      <c r="C765" s="19" t="s">
        <v>784</v>
      </c>
      <c r="E765" s="19" t="s">
        <v>756</v>
      </c>
      <c r="F765" s="19" t="s">
        <v>135</v>
      </c>
      <c r="G765" s="19"/>
      <c r="H765" s="115">
        <v>1096474</v>
      </c>
      <c r="I765" s="22"/>
      <c r="N765" s="21"/>
      <c r="O765" s="21"/>
    </row>
    <row r="766" spans="2:15" x14ac:dyDescent="0.2">
      <c r="B766" s="80"/>
      <c r="C766" s="116" t="s">
        <v>139</v>
      </c>
      <c r="F766" s="19"/>
      <c r="G766" s="19"/>
      <c r="H766" s="114">
        <f>SUM(H743:H765)</f>
        <v>19028933</v>
      </c>
      <c r="I766" s="22">
        <f>I730-H766</f>
        <v>28860270</v>
      </c>
      <c r="N766" s="21"/>
      <c r="O766" s="21"/>
    </row>
    <row r="767" spans="2:15" x14ac:dyDescent="0.2">
      <c r="B767" s="80">
        <v>1</v>
      </c>
      <c r="F767" s="19" t="s">
        <v>104</v>
      </c>
      <c r="G767" s="19"/>
      <c r="H767" s="114">
        <v>0</v>
      </c>
      <c r="I767" s="22"/>
      <c r="N767" s="21"/>
      <c r="O767" s="21"/>
    </row>
    <row r="768" spans="2:15" x14ac:dyDescent="0.2">
      <c r="B768" s="80">
        <v>2</v>
      </c>
      <c r="F768" s="19" t="s">
        <v>104</v>
      </c>
      <c r="G768" s="19"/>
      <c r="H768" s="114">
        <v>0</v>
      </c>
      <c r="I768" s="22"/>
      <c r="N768" s="21"/>
      <c r="O768" s="21"/>
    </row>
    <row r="769" spans="2:15" x14ac:dyDescent="0.2">
      <c r="B769" s="80">
        <v>3</v>
      </c>
      <c r="F769" s="19" t="s">
        <v>104</v>
      </c>
      <c r="G769" s="19"/>
      <c r="H769" s="114">
        <v>0</v>
      </c>
      <c r="I769" s="22"/>
      <c r="N769" s="21"/>
      <c r="O769" s="21"/>
    </row>
    <row r="770" spans="2:15" ht="16.5" x14ac:dyDescent="0.35">
      <c r="B770" s="80">
        <v>4</v>
      </c>
      <c r="F770" s="19" t="s">
        <v>104</v>
      </c>
      <c r="G770" s="19"/>
      <c r="H770" s="115">
        <v>0</v>
      </c>
      <c r="I770" s="22"/>
      <c r="N770" s="21"/>
      <c r="O770" s="21"/>
    </row>
    <row r="771" spans="2:15" x14ac:dyDescent="0.2">
      <c r="B771" s="80"/>
      <c r="C771" s="116" t="s">
        <v>140</v>
      </c>
      <c r="F771" s="19"/>
      <c r="G771" s="19"/>
      <c r="H771" s="114">
        <f>SUM(H767:H770)</f>
        <v>0</v>
      </c>
      <c r="I771" s="22">
        <f>I731-H771</f>
        <v>477000</v>
      </c>
      <c r="N771" s="21"/>
      <c r="O771" s="21"/>
    </row>
    <row r="772" spans="2:15" x14ac:dyDescent="0.2">
      <c r="B772" s="80">
        <v>1</v>
      </c>
      <c r="F772" s="19" t="s">
        <v>34</v>
      </c>
      <c r="G772" s="19"/>
      <c r="H772" s="114">
        <v>0</v>
      </c>
      <c r="I772" s="22"/>
      <c r="N772" s="21"/>
      <c r="O772" s="21"/>
    </row>
    <row r="773" spans="2:15" x14ac:dyDescent="0.2">
      <c r="B773" s="80">
        <v>2</v>
      </c>
      <c r="F773" s="19" t="s">
        <v>34</v>
      </c>
      <c r="G773" s="19"/>
      <c r="H773" s="114">
        <v>0</v>
      </c>
      <c r="I773" s="22"/>
      <c r="N773" s="21"/>
      <c r="O773" s="21"/>
    </row>
    <row r="774" spans="2:15" x14ac:dyDescent="0.2">
      <c r="B774" s="80">
        <v>3</v>
      </c>
      <c r="F774" s="19" t="s">
        <v>34</v>
      </c>
      <c r="G774" s="19"/>
      <c r="H774" s="114">
        <v>0</v>
      </c>
      <c r="I774" s="22"/>
      <c r="N774" s="21"/>
      <c r="O774" s="21"/>
    </row>
    <row r="775" spans="2:15" ht="16.5" x14ac:dyDescent="0.35">
      <c r="B775" s="80">
        <v>4</v>
      </c>
      <c r="F775" s="19" t="s">
        <v>34</v>
      </c>
      <c r="G775" s="19"/>
      <c r="H775" s="115">
        <v>0</v>
      </c>
      <c r="I775" s="22"/>
      <c r="N775" s="21"/>
      <c r="O775" s="21"/>
    </row>
    <row r="776" spans="2:15" x14ac:dyDescent="0.2">
      <c r="B776" s="80"/>
      <c r="C776" s="116" t="s">
        <v>141</v>
      </c>
      <c r="F776" s="19"/>
      <c r="G776" s="19"/>
      <c r="H776" s="114">
        <f>SUM(H772:H775)</f>
        <v>0</v>
      </c>
      <c r="I776" s="22">
        <f>I732-H776</f>
        <v>233389</v>
      </c>
      <c r="N776" s="21"/>
      <c r="O776" s="21"/>
    </row>
    <row r="777" spans="2:15" x14ac:dyDescent="0.2">
      <c r="B777" s="80">
        <v>1</v>
      </c>
      <c r="F777" s="19" t="s">
        <v>105</v>
      </c>
      <c r="G777" s="19"/>
      <c r="H777" s="114">
        <v>0</v>
      </c>
      <c r="I777" s="22"/>
      <c r="N777" s="21"/>
      <c r="O777" s="21"/>
    </row>
    <row r="778" spans="2:15" x14ac:dyDescent="0.2">
      <c r="B778" s="80">
        <v>2</v>
      </c>
      <c r="F778" s="19" t="s">
        <v>105</v>
      </c>
      <c r="G778" s="19"/>
      <c r="H778" s="114">
        <v>0</v>
      </c>
      <c r="I778" s="22"/>
      <c r="N778" s="21"/>
      <c r="O778" s="21"/>
    </row>
    <row r="779" spans="2:15" x14ac:dyDescent="0.2">
      <c r="B779" s="80">
        <v>3</v>
      </c>
      <c r="F779" s="19" t="s">
        <v>105</v>
      </c>
      <c r="G779" s="19"/>
      <c r="H779" s="114">
        <v>0</v>
      </c>
      <c r="I779" s="22"/>
      <c r="N779" s="21"/>
      <c r="O779" s="21"/>
    </row>
    <row r="780" spans="2:15" ht="16.5" x14ac:dyDescent="0.35">
      <c r="B780" s="80">
        <v>4</v>
      </c>
      <c r="F780" s="19" t="s">
        <v>105</v>
      </c>
      <c r="G780" s="19"/>
      <c r="H780" s="115">
        <v>0</v>
      </c>
      <c r="I780" s="22"/>
      <c r="N780" s="21"/>
      <c r="O780" s="21"/>
    </row>
    <row r="781" spans="2:15" x14ac:dyDescent="0.2">
      <c r="B781" s="80"/>
      <c r="C781" s="116" t="s">
        <v>142</v>
      </c>
      <c r="F781" s="19"/>
      <c r="G781" s="19"/>
      <c r="H781" s="114">
        <f>SUM(H777:H780)</f>
        <v>0</v>
      </c>
      <c r="I781" s="22">
        <f>I733-H781</f>
        <v>3435000</v>
      </c>
      <c r="N781" s="21"/>
      <c r="O781" s="21"/>
    </row>
    <row r="782" spans="2:15" x14ac:dyDescent="0.2">
      <c r="B782" s="80">
        <v>1</v>
      </c>
      <c r="C782" s="19" t="s">
        <v>764</v>
      </c>
      <c r="E782" s="19" t="s">
        <v>736</v>
      </c>
      <c r="F782" s="19" t="s">
        <v>143</v>
      </c>
      <c r="G782" s="19"/>
      <c r="H782" s="114">
        <v>250000</v>
      </c>
      <c r="I782" s="22"/>
      <c r="N782" s="21"/>
      <c r="O782" s="21"/>
    </row>
    <row r="783" spans="2:15" x14ac:dyDescent="0.2">
      <c r="B783" s="80">
        <v>2</v>
      </c>
      <c r="C783" s="19" t="s">
        <v>775</v>
      </c>
      <c r="E783" s="19" t="s">
        <v>747</v>
      </c>
      <c r="F783" s="19" t="s">
        <v>143</v>
      </c>
      <c r="G783" s="19"/>
      <c r="H783" s="114">
        <v>1847500</v>
      </c>
      <c r="I783" s="22"/>
      <c r="N783" s="21"/>
      <c r="O783" s="21"/>
    </row>
    <row r="784" spans="2:15" x14ac:dyDescent="0.2">
      <c r="B784" s="80">
        <v>3</v>
      </c>
      <c r="C784" s="19" t="s">
        <v>777</v>
      </c>
      <c r="E784" s="19" t="s">
        <v>749</v>
      </c>
      <c r="F784" s="19" t="s">
        <v>143</v>
      </c>
      <c r="G784" s="19"/>
      <c r="H784" s="114">
        <v>600000</v>
      </c>
      <c r="I784" s="22"/>
      <c r="N784" s="21"/>
      <c r="O784" s="21"/>
    </row>
    <row r="785" spans="2:15" x14ac:dyDescent="0.2">
      <c r="B785" s="80">
        <v>4</v>
      </c>
      <c r="C785" s="19" t="s">
        <v>778</v>
      </c>
      <c r="E785" s="19" t="s">
        <v>750</v>
      </c>
      <c r="F785" s="19" t="s">
        <v>143</v>
      </c>
      <c r="G785" s="19"/>
      <c r="H785" s="114">
        <v>150000</v>
      </c>
      <c r="I785" s="22"/>
      <c r="N785" s="21"/>
      <c r="O785" s="21"/>
    </row>
    <row r="786" spans="2:15" x14ac:dyDescent="0.2">
      <c r="B786" s="80">
        <v>5</v>
      </c>
      <c r="C786" s="19" t="s">
        <v>781</v>
      </c>
      <c r="E786" s="19" t="s">
        <v>753</v>
      </c>
      <c r="F786" s="19" t="s">
        <v>143</v>
      </c>
      <c r="G786" s="19"/>
      <c r="H786" s="114">
        <v>500000</v>
      </c>
      <c r="I786" s="22"/>
      <c r="N786" s="21"/>
      <c r="O786" s="21"/>
    </row>
    <row r="787" spans="2:15" ht="16.5" x14ac:dyDescent="0.35">
      <c r="B787" s="80">
        <v>6</v>
      </c>
      <c r="C787" s="19" t="s">
        <v>782</v>
      </c>
      <c r="E787" s="19" t="s">
        <v>754</v>
      </c>
      <c r="F787" s="19" t="s">
        <v>143</v>
      </c>
      <c r="G787" s="19"/>
      <c r="H787" s="115">
        <v>74000000</v>
      </c>
      <c r="I787" s="22"/>
      <c r="N787" s="21"/>
      <c r="O787" s="21"/>
    </row>
    <row r="788" spans="2:15" x14ac:dyDescent="0.2">
      <c r="B788" s="80"/>
      <c r="C788" s="116" t="s">
        <v>144</v>
      </c>
      <c r="F788" s="19"/>
      <c r="G788" s="19"/>
      <c r="H788" s="114">
        <f>SUM(H782:H787)</f>
        <v>77347500</v>
      </c>
      <c r="I788" s="22">
        <f>I734-H788</f>
        <v>25265738</v>
      </c>
      <c r="N788" s="21"/>
      <c r="O788" s="21"/>
    </row>
    <row r="789" spans="2:15" x14ac:dyDescent="0.2">
      <c r="B789" s="20"/>
      <c r="I789" s="22"/>
    </row>
    <row r="790" spans="2:15" ht="15" thickBot="1" x14ac:dyDescent="0.25">
      <c r="B790" s="20"/>
      <c r="C790" s="19" t="s">
        <v>27</v>
      </c>
      <c r="H790" s="117">
        <f>H766+H771+H776+H781+H788</f>
        <v>96376433</v>
      </c>
      <c r="I790" s="81"/>
    </row>
    <row r="791" spans="2:15" x14ac:dyDescent="0.2">
      <c r="B791" s="20"/>
      <c r="I791" s="22"/>
    </row>
    <row r="792" spans="2:15" ht="15" x14ac:dyDescent="0.25">
      <c r="B792" s="20"/>
      <c r="C792" s="19" t="s">
        <v>28</v>
      </c>
      <c r="H792" s="19"/>
      <c r="I792" s="82">
        <f>I736-H790</f>
        <v>58271397</v>
      </c>
    </row>
    <row r="793" spans="2:15" x14ac:dyDescent="0.2">
      <c r="B793" s="24"/>
      <c r="C793" s="25"/>
      <c r="D793" s="25"/>
      <c r="E793" s="25"/>
      <c r="F793" s="23"/>
      <c r="G793" s="23"/>
      <c r="H793" s="23"/>
      <c r="I793" s="37"/>
    </row>
    <row r="797" spans="2:15" ht="28.9" customHeight="1" thickBot="1" x14ac:dyDescent="0.25">
      <c r="B797" s="192" t="str">
        <f>B16</f>
        <v>KIWI</v>
      </c>
      <c r="C797" s="193"/>
      <c r="D797" s="193"/>
      <c r="E797" s="193"/>
      <c r="F797" s="193"/>
      <c r="G797" s="193"/>
      <c r="H797" s="193"/>
      <c r="I797" s="193"/>
    </row>
    <row r="798" spans="2:15" ht="21.75" x14ac:dyDescent="0.2">
      <c r="B798" s="194" t="s">
        <v>21</v>
      </c>
      <c r="C798" s="194"/>
      <c r="D798" s="194"/>
      <c r="E798" s="194"/>
      <c r="F798" s="194"/>
      <c r="G798" s="194"/>
      <c r="H798" s="194"/>
      <c r="I798" s="195"/>
    </row>
    <row r="799" spans="2:15" ht="21.75" x14ac:dyDescent="0.2">
      <c r="B799" s="186" t="s">
        <v>193</v>
      </c>
      <c r="C799" s="186"/>
      <c r="D799" s="186"/>
      <c r="E799" s="186"/>
      <c r="F799" s="186"/>
      <c r="G799" s="186"/>
      <c r="H799" s="186"/>
      <c r="I799" s="196"/>
    </row>
    <row r="801" spans="2:9" ht="21.75" x14ac:dyDescent="0.2">
      <c r="B801" s="105"/>
      <c r="C801" s="106" t="s">
        <v>22</v>
      </c>
      <c r="D801" s="106"/>
      <c r="E801" s="106"/>
      <c r="F801" s="106"/>
      <c r="G801" s="106"/>
      <c r="H801" s="106"/>
      <c r="I801" s="107"/>
    </row>
    <row r="802" spans="2:9" x14ac:dyDescent="0.2">
      <c r="B802" s="20"/>
      <c r="I802" s="22"/>
    </row>
    <row r="803" spans="2:9" ht="21.75" x14ac:dyDescent="0.2">
      <c r="B803" s="108"/>
      <c r="C803" s="102" t="s">
        <v>63</v>
      </c>
      <c r="D803" s="100"/>
      <c r="E803" s="100"/>
      <c r="F803" s="101" t="s">
        <v>115</v>
      </c>
      <c r="G803" s="101"/>
      <c r="H803" s="101" t="s">
        <v>116</v>
      </c>
      <c r="I803" s="109" t="s">
        <v>17</v>
      </c>
    </row>
    <row r="804" spans="2:9" x14ac:dyDescent="0.2">
      <c r="B804" s="20"/>
      <c r="I804" s="22"/>
    </row>
    <row r="805" spans="2:9" x14ac:dyDescent="0.2">
      <c r="B805" s="20"/>
      <c r="C805" s="19" t="s">
        <v>23</v>
      </c>
      <c r="H805" s="21">
        <f>'Rec.Data System-IN'!R27</f>
        <v>1546342</v>
      </c>
      <c r="I805" s="22">
        <f t="shared" ref="I805:I811" si="11">F805+H805</f>
        <v>1546342</v>
      </c>
    </row>
    <row r="806" spans="2:9" x14ac:dyDescent="0.2">
      <c r="B806" s="20"/>
      <c r="C806" s="19" t="s">
        <v>24</v>
      </c>
      <c r="H806" s="110">
        <f>'Rec.Data System-IN'!S27</f>
        <v>61304315</v>
      </c>
      <c r="I806" s="22">
        <f t="shared" si="11"/>
        <v>61304315</v>
      </c>
    </row>
    <row r="807" spans="2:9" ht="25.5" customHeight="1" x14ac:dyDescent="0.2">
      <c r="B807" s="20"/>
      <c r="C807" s="7" t="s">
        <v>81</v>
      </c>
      <c r="F807" s="21">
        <f>I766</f>
        <v>28860270</v>
      </c>
      <c r="H807" s="21">
        <f>SUM(H805:H806)</f>
        <v>62850657</v>
      </c>
      <c r="I807" s="22">
        <f t="shared" si="11"/>
        <v>91710927</v>
      </c>
    </row>
    <row r="808" spans="2:9" x14ac:dyDescent="0.2">
      <c r="B808" s="20"/>
      <c r="C808" s="19" t="s">
        <v>104</v>
      </c>
      <c r="F808" s="21">
        <f>I771</f>
        <v>477000</v>
      </c>
      <c r="H808" s="21">
        <f>'Rec.Data System-IN'!T27</f>
        <v>0</v>
      </c>
      <c r="I808" s="22">
        <f t="shared" si="11"/>
        <v>477000</v>
      </c>
    </row>
    <row r="809" spans="2:9" x14ac:dyDescent="0.2">
      <c r="B809" s="20"/>
      <c r="C809" s="19" t="s">
        <v>34</v>
      </c>
      <c r="F809" s="21">
        <f>I776</f>
        <v>233389</v>
      </c>
      <c r="H809" s="21">
        <f>'Rec.Data System-IN'!U27</f>
        <v>2358122</v>
      </c>
      <c r="I809" s="22">
        <f t="shared" si="11"/>
        <v>2591511</v>
      </c>
    </row>
    <row r="810" spans="2:9" x14ac:dyDescent="0.2">
      <c r="B810" s="20"/>
      <c r="C810" s="19" t="s">
        <v>105</v>
      </c>
      <c r="F810" s="21">
        <f>I781</f>
        <v>3435000</v>
      </c>
      <c r="H810" s="21">
        <f>'Rec.Data System-IN'!V27</f>
        <v>640000</v>
      </c>
      <c r="I810" s="22">
        <f t="shared" si="11"/>
        <v>4075000</v>
      </c>
    </row>
    <row r="811" spans="2:9" x14ac:dyDescent="0.2">
      <c r="B811" s="20"/>
      <c r="C811" s="19" t="s">
        <v>106</v>
      </c>
      <c r="F811" s="110">
        <f>I788</f>
        <v>25265738</v>
      </c>
      <c r="H811" s="21">
        <f>'Rec.Data System-IN'!W27</f>
        <v>7825000</v>
      </c>
      <c r="I811" s="22">
        <f t="shared" si="11"/>
        <v>33090738</v>
      </c>
    </row>
    <row r="812" spans="2:9" x14ac:dyDescent="0.2">
      <c r="B812" s="20"/>
      <c r="I812" s="22"/>
    </row>
    <row r="813" spans="2:9" ht="15.75" thickBot="1" x14ac:dyDescent="0.3">
      <c r="B813" s="20"/>
      <c r="C813" s="19" t="s">
        <v>25</v>
      </c>
      <c r="I813" s="83">
        <f>SUM(I807:I811)</f>
        <v>131945176</v>
      </c>
    </row>
    <row r="814" spans="2:9" ht="15" thickTop="1" x14ac:dyDescent="0.2">
      <c r="B814" s="20"/>
      <c r="I814" s="22"/>
    </row>
    <row r="815" spans="2:9" ht="21.75" x14ac:dyDescent="0.2">
      <c r="B815" s="111"/>
      <c r="C815" s="103" t="s">
        <v>26</v>
      </c>
      <c r="D815" s="103"/>
      <c r="E815" s="103"/>
      <c r="F815" s="103"/>
      <c r="G815" s="103"/>
      <c r="H815" s="103"/>
      <c r="I815" s="112"/>
    </row>
    <row r="816" spans="2:9" x14ac:dyDescent="0.2">
      <c r="B816" s="20"/>
      <c r="F816" s="19"/>
      <c r="H816" s="19"/>
      <c r="I816" s="22"/>
    </row>
    <row r="817" spans="2:9" ht="21.75" x14ac:dyDescent="0.2">
      <c r="B817" s="108"/>
      <c r="C817" s="102" t="s">
        <v>65</v>
      </c>
      <c r="D817" s="100"/>
      <c r="E817" s="102" t="s">
        <v>145</v>
      </c>
      <c r="F817" s="104" t="s">
        <v>114</v>
      </c>
      <c r="G817" s="101"/>
      <c r="H817" s="101"/>
      <c r="I817" s="109"/>
    </row>
    <row r="818" spans="2:9" x14ac:dyDescent="0.2">
      <c r="B818" s="80"/>
      <c r="F818" s="19" t="s">
        <v>113</v>
      </c>
      <c r="H818" s="113"/>
      <c r="I818" s="22"/>
    </row>
    <row r="819" spans="2:9" x14ac:dyDescent="0.2">
      <c r="B819" s="80"/>
      <c r="F819" s="19"/>
      <c r="H819" s="113"/>
      <c r="I819" s="22"/>
    </row>
    <row r="820" spans="2:9" x14ac:dyDescent="0.2">
      <c r="B820" s="80">
        <v>1</v>
      </c>
      <c r="C820" s="19" t="s">
        <v>833</v>
      </c>
      <c r="E820" s="19" t="s">
        <v>789</v>
      </c>
      <c r="F820" s="19" t="s">
        <v>135</v>
      </c>
      <c r="G820" s="19"/>
      <c r="H820" s="114">
        <v>1106250</v>
      </c>
      <c r="I820" s="22"/>
    </row>
    <row r="821" spans="2:9" x14ac:dyDescent="0.2">
      <c r="B821" s="80">
        <v>2</v>
      </c>
      <c r="C821" s="19" t="s">
        <v>835</v>
      </c>
      <c r="E821" s="19" t="s">
        <v>791</v>
      </c>
      <c r="F821" s="19" t="s">
        <v>135</v>
      </c>
      <c r="G821" s="19"/>
      <c r="H821" s="114">
        <v>1700000</v>
      </c>
      <c r="I821" s="22"/>
    </row>
    <row r="822" spans="2:9" x14ac:dyDescent="0.2">
      <c r="B822" s="80">
        <v>3</v>
      </c>
      <c r="C822" s="19" t="s">
        <v>836</v>
      </c>
      <c r="E822" s="19" t="s">
        <v>792</v>
      </c>
      <c r="F822" s="19" t="s">
        <v>135</v>
      </c>
      <c r="G822" s="19"/>
      <c r="H822" s="114">
        <v>1000000</v>
      </c>
      <c r="I822" s="22"/>
    </row>
    <row r="823" spans="2:9" x14ac:dyDescent="0.2">
      <c r="B823" s="80">
        <v>4</v>
      </c>
      <c r="C823" s="19" t="s">
        <v>837</v>
      </c>
      <c r="E823" s="19" t="s">
        <v>793</v>
      </c>
      <c r="F823" s="19" t="s">
        <v>135</v>
      </c>
      <c r="G823" s="19"/>
      <c r="H823" s="114">
        <v>300000</v>
      </c>
      <c r="I823" s="22"/>
    </row>
    <row r="824" spans="2:9" x14ac:dyDescent="0.2">
      <c r="B824" s="80">
        <v>5</v>
      </c>
      <c r="C824" s="19" t="s">
        <v>838</v>
      </c>
      <c r="E824" s="19" t="s">
        <v>794</v>
      </c>
      <c r="F824" s="19" t="s">
        <v>135</v>
      </c>
      <c r="G824" s="19"/>
      <c r="H824" s="114">
        <v>466000</v>
      </c>
      <c r="I824" s="22"/>
    </row>
    <row r="825" spans="2:9" x14ac:dyDescent="0.2">
      <c r="B825" s="80">
        <v>6</v>
      </c>
      <c r="C825" s="19" t="s">
        <v>566</v>
      </c>
      <c r="E825" s="19" t="s">
        <v>795</v>
      </c>
      <c r="F825" s="19" t="s">
        <v>135</v>
      </c>
      <c r="G825" s="19"/>
      <c r="H825" s="114">
        <v>200000</v>
      </c>
      <c r="I825" s="22"/>
    </row>
    <row r="826" spans="2:9" x14ac:dyDescent="0.2">
      <c r="B826" s="80">
        <v>7</v>
      </c>
      <c r="C826" s="19" t="s">
        <v>839</v>
      </c>
      <c r="E826" s="19" t="s">
        <v>796</v>
      </c>
      <c r="F826" s="19" t="s">
        <v>135</v>
      </c>
      <c r="G826" s="19"/>
      <c r="H826" s="114">
        <v>200000</v>
      </c>
      <c r="I826" s="22"/>
    </row>
    <row r="827" spans="2:9" x14ac:dyDescent="0.2">
      <c r="B827" s="80">
        <v>8</v>
      </c>
      <c r="C827" s="19" t="s">
        <v>840</v>
      </c>
      <c r="E827" s="19" t="s">
        <v>797</v>
      </c>
      <c r="F827" s="19" t="s">
        <v>135</v>
      </c>
      <c r="G827" s="19"/>
      <c r="H827" s="114">
        <v>600979</v>
      </c>
      <c r="I827" s="22"/>
    </row>
    <row r="828" spans="2:9" x14ac:dyDescent="0.2">
      <c r="B828" s="80">
        <v>9</v>
      </c>
      <c r="C828" s="19" t="s">
        <v>841</v>
      </c>
      <c r="E828" s="19" t="s">
        <v>798</v>
      </c>
      <c r="F828" s="19" t="s">
        <v>135</v>
      </c>
      <c r="G828" s="19"/>
      <c r="H828" s="114">
        <v>813000</v>
      </c>
      <c r="I828" s="22"/>
    </row>
    <row r="829" spans="2:9" x14ac:dyDescent="0.2">
      <c r="B829" s="80">
        <v>10</v>
      </c>
      <c r="C829" s="19" t="s">
        <v>842</v>
      </c>
      <c r="E829" s="19" t="s">
        <v>799</v>
      </c>
      <c r="F829" s="19" t="s">
        <v>135</v>
      </c>
      <c r="G829" s="19"/>
      <c r="H829" s="114">
        <v>500000</v>
      </c>
      <c r="I829" s="22"/>
    </row>
    <row r="830" spans="2:9" x14ac:dyDescent="0.2">
      <c r="B830" s="80">
        <v>11</v>
      </c>
      <c r="C830" s="19" t="s">
        <v>844</v>
      </c>
      <c r="E830" s="19" t="s">
        <v>801</v>
      </c>
      <c r="F830" s="19" t="s">
        <v>135</v>
      </c>
      <c r="G830" s="19"/>
      <c r="H830" s="114">
        <v>750000</v>
      </c>
      <c r="I830" s="22"/>
    </row>
    <row r="831" spans="2:9" x14ac:dyDescent="0.2">
      <c r="B831" s="80">
        <v>12</v>
      </c>
      <c r="C831" s="19" t="s">
        <v>845</v>
      </c>
      <c r="E831" s="19" t="s">
        <v>802</v>
      </c>
      <c r="F831" s="19" t="s">
        <v>135</v>
      </c>
      <c r="G831" s="19"/>
      <c r="H831" s="114">
        <v>23375000</v>
      </c>
      <c r="I831" s="22"/>
    </row>
    <row r="832" spans="2:9" x14ac:dyDescent="0.2">
      <c r="B832" s="80">
        <v>13</v>
      </c>
      <c r="C832" s="19" t="s">
        <v>847</v>
      </c>
      <c r="E832" s="19" t="s">
        <v>804</v>
      </c>
      <c r="F832" s="19" t="s">
        <v>135</v>
      </c>
      <c r="G832" s="19"/>
      <c r="H832" s="114">
        <v>2237764</v>
      </c>
      <c r="I832" s="22"/>
    </row>
    <row r="833" spans="2:15" x14ac:dyDescent="0.2">
      <c r="B833" s="80">
        <v>14</v>
      </c>
      <c r="C833" s="19" t="s">
        <v>848</v>
      </c>
      <c r="E833" s="19" t="s">
        <v>805</v>
      </c>
      <c r="F833" s="19" t="s">
        <v>135</v>
      </c>
      <c r="G833" s="19"/>
      <c r="H833" s="114">
        <v>3050000</v>
      </c>
      <c r="I833" s="22"/>
    </row>
    <row r="834" spans="2:15" x14ac:dyDescent="0.2">
      <c r="B834" s="80">
        <v>15</v>
      </c>
      <c r="C834" s="19" t="s">
        <v>849</v>
      </c>
      <c r="E834" s="19" t="s">
        <v>806</v>
      </c>
      <c r="F834" s="19" t="s">
        <v>135</v>
      </c>
      <c r="G834" s="19"/>
      <c r="H834" s="114">
        <v>1500000</v>
      </c>
      <c r="I834" s="22"/>
    </row>
    <row r="835" spans="2:15" x14ac:dyDescent="0.2">
      <c r="B835" s="80">
        <v>16</v>
      </c>
      <c r="C835" s="19" t="s">
        <v>850</v>
      </c>
      <c r="E835" s="19" t="s">
        <v>807</v>
      </c>
      <c r="F835" s="19" t="s">
        <v>135</v>
      </c>
      <c r="G835" s="19"/>
      <c r="H835" s="114">
        <v>560000</v>
      </c>
      <c r="I835" s="22"/>
    </row>
    <row r="836" spans="2:15" x14ac:dyDescent="0.2">
      <c r="B836" s="80">
        <v>17</v>
      </c>
      <c r="C836" s="19" t="s">
        <v>851</v>
      </c>
      <c r="E836" s="19" t="s">
        <v>808</v>
      </c>
      <c r="F836" s="19" t="s">
        <v>135</v>
      </c>
      <c r="G836" s="19"/>
      <c r="H836" s="114">
        <v>500000</v>
      </c>
      <c r="I836" s="22"/>
    </row>
    <row r="837" spans="2:15" x14ac:dyDescent="0.2">
      <c r="B837" s="80">
        <v>18</v>
      </c>
      <c r="C837" s="19" t="s">
        <v>852</v>
      </c>
      <c r="E837" s="19" t="s">
        <v>809</v>
      </c>
      <c r="F837" s="19" t="s">
        <v>135</v>
      </c>
      <c r="G837" s="19"/>
      <c r="H837" s="114">
        <v>240000</v>
      </c>
      <c r="I837" s="22"/>
    </row>
    <row r="838" spans="2:15" x14ac:dyDescent="0.2">
      <c r="B838" s="80">
        <v>19</v>
      </c>
      <c r="C838" s="19" t="s">
        <v>853</v>
      </c>
      <c r="E838" s="19" t="s">
        <v>810</v>
      </c>
      <c r="F838" s="19" t="s">
        <v>135</v>
      </c>
      <c r="G838" s="19"/>
      <c r="H838" s="114">
        <v>150000</v>
      </c>
      <c r="I838" s="22"/>
    </row>
    <row r="839" spans="2:15" x14ac:dyDescent="0.2">
      <c r="B839" s="80">
        <v>20</v>
      </c>
      <c r="C839" s="19" t="s">
        <v>854</v>
      </c>
      <c r="E839" s="19" t="s">
        <v>811</v>
      </c>
      <c r="F839" s="19" t="s">
        <v>135</v>
      </c>
      <c r="G839" s="19"/>
      <c r="H839" s="114">
        <v>126864</v>
      </c>
      <c r="I839" s="22"/>
    </row>
    <row r="840" spans="2:15" x14ac:dyDescent="0.2">
      <c r="B840" s="80">
        <v>21</v>
      </c>
      <c r="C840" s="19" t="s">
        <v>855</v>
      </c>
      <c r="E840" s="19" t="s">
        <v>812</v>
      </c>
      <c r="F840" s="19" t="s">
        <v>135</v>
      </c>
      <c r="G840" s="19"/>
      <c r="H840" s="114">
        <v>986000</v>
      </c>
      <c r="I840" s="22"/>
    </row>
    <row r="841" spans="2:15" x14ac:dyDescent="0.2">
      <c r="B841" s="80">
        <v>22</v>
      </c>
      <c r="C841" s="19" t="s">
        <v>856</v>
      </c>
      <c r="E841" s="19" t="s">
        <v>813</v>
      </c>
      <c r="F841" s="19" t="s">
        <v>135</v>
      </c>
      <c r="G841" s="19"/>
      <c r="H841" s="114">
        <v>450000</v>
      </c>
      <c r="I841" s="22"/>
    </row>
    <row r="842" spans="2:15" x14ac:dyDescent="0.2">
      <c r="B842" s="80">
        <v>23</v>
      </c>
      <c r="C842" s="19" t="s">
        <v>858</v>
      </c>
      <c r="E842" s="19" t="s">
        <v>815</v>
      </c>
      <c r="F842" s="19" t="s">
        <v>135</v>
      </c>
      <c r="G842" s="19"/>
      <c r="H842" s="114">
        <v>1000000</v>
      </c>
      <c r="I842" s="22"/>
    </row>
    <row r="843" spans="2:15" x14ac:dyDescent="0.2">
      <c r="B843" s="80">
        <v>24</v>
      </c>
      <c r="C843" s="19" t="s">
        <v>861</v>
      </c>
      <c r="E843" s="19" t="s">
        <v>818</v>
      </c>
      <c r="F843" s="19" t="s">
        <v>135</v>
      </c>
      <c r="G843" s="19"/>
      <c r="H843" s="114">
        <v>2387950</v>
      </c>
      <c r="I843" s="22"/>
    </row>
    <row r="844" spans="2:15" x14ac:dyDescent="0.2">
      <c r="B844" s="80">
        <v>25</v>
      </c>
      <c r="C844" s="19" t="s">
        <v>862</v>
      </c>
      <c r="E844" s="19" t="s">
        <v>819</v>
      </c>
      <c r="F844" s="19" t="s">
        <v>135</v>
      </c>
      <c r="G844" s="19"/>
      <c r="H844" s="114">
        <v>2000000</v>
      </c>
      <c r="I844" s="22"/>
    </row>
    <row r="845" spans="2:15" x14ac:dyDescent="0.2">
      <c r="B845" s="80">
        <v>26</v>
      </c>
      <c r="C845" s="19" t="s">
        <v>863</v>
      </c>
      <c r="E845" s="19" t="s">
        <v>820</v>
      </c>
      <c r="F845" s="19" t="s">
        <v>135</v>
      </c>
      <c r="G845" s="19"/>
      <c r="H845" s="114">
        <v>550774</v>
      </c>
      <c r="I845" s="22"/>
    </row>
    <row r="846" spans="2:15" x14ac:dyDescent="0.2">
      <c r="B846" s="80">
        <v>27</v>
      </c>
      <c r="C846" s="19" t="s">
        <v>865</v>
      </c>
      <c r="E846" s="19" t="s">
        <v>822</v>
      </c>
      <c r="F846" s="19" t="s">
        <v>135</v>
      </c>
      <c r="G846" s="19"/>
      <c r="H846" s="114">
        <v>36300</v>
      </c>
      <c r="I846" s="22"/>
    </row>
    <row r="847" spans="2:15" x14ac:dyDescent="0.2">
      <c r="B847" s="80">
        <v>28</v>
      </c>
      <c r="C847" s="19" t="s">
        <v>866</v>
      </c>
      <c r="E847" s="19" t="s">
        <v>823</v>
      </c>
      <c r="F847" s="19" t="s">
        <v>135</v>
      </c>
      <c r="G847" s="19"/>
      <c r="H847" s="114">
        <v>18804</v>
      </c>
      <c r="I847" s="22"/>
    </row>
    <row r="848" spans="2:15" x14ac:dyDescent="0.2">
      <c r="B848" s="80">
        <v>29</v>
      </c>
      <c r="C848" s="19" t="s">
        <v>867</v>
      </c>
      <c r="E848" s="19" t="s">
        <v>824</v>
      </c>
      <c r="F848" s="19" t="s">
        <v>135</v>
      </c>
      <c r="G848" s="19"/>
      <c r="H848" s="114">
        <v>1459000</v>
      </c>
      <c r="I848" s="22"/>
      <c r="N848" s="21"/>
      <c r="O848" s="21"/>
    </row>
    <row r="849" spans="2:15" ht="16.5" x14ac:dyDescent="0.35">
      <c r="B849" s="80">
        <v>30</v>
      </c>
      <c r="C849" s="19" t="s">
        <v>870</v>
      </c>
      <c r="E849" s="19" t="s">
        <v>827</v>
      </c>
      <c r="F849" s="19" t="s">
        <v>135</v>
      </c>
      <c r="G849" s="19"/>
      <c r="H849" s="115">
        <v>1800000</v>
      </c>
      <c r="I849" s="22"/>
      <c r="N849" s="21"/>
      <c r="O849" s="21"/>
    </row>
    <row r="850" spans="2:15" x14ac:dyDescent="0.2">
      <c r="B850" s="80"/>
      <c r="C850" s="116" t="s">
        <v>139</v>
      </c>
      <c r="F850" s="19"/>
      <c r="G850" s="19"/>
      <c r="H850" s="114">
        <f>SUM(H820:H849)</f>
        <v>50064685</v>
      </c>
      <c r="I850" s="22">
        <f>I807-H850</f>
        <v>41646242</v>
      </c>
      <c r="N850" s="21"/>
      <c r="O850" s="21"/>
    </row>
    <row r="851" spans="2:15" x14ac:dyDescent="0.2">
      <c r="B851" s="80">
        <v>1</v>
      </c>
      <c r="C851" s="19" t="s">
        <v>873</v>
      </c>
      <c r="E851" s="19" t="s">
        <v>830</v>
      </c>
      <c r="F851" s="19" t="s">
        <v>104</v>
      </c>
      <c r="G851" s="19"/>
      <c r="H851" s="114">
        <v>477000</v>
      </c>
      <c r="I851" s="22"/>
      <c r="N851" s="21"/>
      <c r="O851" s="21"/>
    </row>
    <row r="852" spans="2:15" x14ac:dyDescent="0.2">
      <c r="B852" s="80">
        <v>2</v>
      </c>
      <c r="F852" s="19" t="s">
        <v>104</v>
      </c>
      <c r="G852" s="19"/>
      <c r="H852" s="114">
        <v>0</v>
      </c>
      <c r="I852" s="22"/>
      <c r="N852" s="21"/>
      <c r="O852" s="21"/>
    </row>
    <row r="853" spans="2:15" x14ac:dyDescent="0.2">
      <c r="B853" s="80">
        <v>3</v>
      </c>
      <c r="F853" s="19" t="s">
        <v>104</v>
      </c>
      <c r="G853" s="19"/>
      <c r="H853" s="114">
        <v>0</v>
      </c>
      <c r="I853" s="22"/>
      <c r="N853" s="21"/>
      <c r="O853" s="21"/>
    </row>
    <row r="854" spans="2:15" ht="16.5" x14ac:dyDescent="0.35">
      <c r="B854" s="80">
        <v>4</v>
      </c>
      <c r="F854" s="19" t="s">
        <v>104</v>
      </c>
      <c r="G854" s="19"/>
      <c r="H854" s="115">
        <v>0</v>
      </c>
      <c r="I854" s="22"/>
      <c r="N854" s="21"/>
      <c r="O854" s="21"/>
    </row>
    <row r="855" spans="2:15" x14ac:dyDescent="0.2">
      <c r="B855" s="80"/>
      <c r="C855" s="116" t="s">
        <v>140</v>
      </c>
      <c r="F855" s="19"/>
      <c r="G855" s="19"/>
      <c r="H855" s="114">
        <f>SUM(H851:H854)</f>
        <v>477000</v>
      </c>
      <c r="I855" s="22">
        <f>I808-H855</f>
        <v>0</v>
      </c>
      <c r="N855" s="21"/>
      <c r="O855" s="21"/>
    </row>
    <row r="856" spans="2:15" x14ac:dyDescent="0.2">
      <c r="B856" s="80">
        <v>1</v>
      </c>
      <c r="F856" s="19" t="s">
        <v>34</v>
      </c>
      <c r="G856" s="19"/>
      <c r="H856" s="114">
        <v>0</v>
      </c>
      <c r="I856" s="22"/>
      <c r="N856" s="21"/>
      <c r="O856" s="21"/>
    </row>
    <row r="857" spans="2:15" x14ac:dyDescent="0.2">
      <c r="B857" s="80">
        <v>2</v>
      </c>
      <c r="F857" s="19" t="s">
        <v>34</v>
      </c>
      <c r="G857" s="19"/>
      <c r="H857" s="114">
        <v>0</v>
      </c>
      <c r="I857" s="22"/>
      <c r="N857" s="21"/>
      <c r="O857" s="21"/>
    </row>
    <row r="858" spans="2:15" x14ac:dyDescent="0.2">
      <c r="B858" s="80">
        <v>3</v>
      </c>
      <c r="F858" s="19" t="s">
        <v>34</v>
      </c>
      <c r="G858" s="19"/>
      <c r="H858" s="114">
        <v>0</v>
      </c>
      <c r="I858" s="22"/>
      <c r="N858" s="21"/>
      <c r="O858" s="21"/>
    </row>
    <row r="859" spans="2:15" ht="16.5" x14ac:dyDescent="0.35">
      <c r="B859" s="80">
        <v>4</v>
      </c>
      <c r="F859" s="19" t="s">
        <v>34</v>
      </c>
      <c r="G859" s="19"/>
      <c r="H859" s="115">
        <v>0</v>
      </c>
      <c r="I859" s="22"/>
      <c r="N859" s="21"/>
      <c r="O859" s="21"/>
    </row>
    <row r="860" spans="2:15" x14ac:dyDescent="0.2">
      <c r="B860" s="80"/>
      <c r="C860" s="116" t="s">
        <v>141</v>
      </c>
      <c r="F860" s="19"/>
      <c r="G860" s="19"/>
      <c r="H860" s="114">
        <f>SUM(H856:H859)</f>
        <v>0</v>
      </c>
      <c r="I860" s="22">
        <f>I809-H860</f>
        <v>2591511</v>
      </c>
      <c r="N860" s="21"/>
      <c r="O860" s="21"/>
    </row>
    <row r="861" spans="2:15" x14ac:dyDescent="0.2">
      <c r="B861" s="80">
        <v>1</v>
      </c>
      <c r="C861" s="19" t="s">
        <v>857</v>
      </c>
      <c r="E861" s="19" t="s">
        <v>814</v>
      </c>
      <c r="F861" s="19" t="s">
        <v>105</v>
      </c>
      <c r="G861" s="19"/>
      <c r="H861" s="114">
        <v>450000</v>
      </c>
      <c r="I861" s="22"/>
      <c r="N861" s="21"/>
      <c r="O861" s="21"/>
    </row>
    <row r="862" spans="2:15" x14ac:dyDescent="0.2">
      <c r="B862" s="80">
        <v>2</v>
      </c>
      <c r="C862" s="19" t="s">
        <v>874</v>
      </c>
      <c r="E862" s="19" t="s">
        <v>831</v>
      </c>
      <c r="F862" s="19" t="s">
        <v>105</v>
      </c>
      <c r="G862" s="19"/>
      <c r="H862" s="114">
        <v>3625000</v>
      </c>
      <c r="I862" s="22"/>
      <c r="N862" s="21"/>
      <c r="O862" s="21"/>
    </row>
    <row r="863" spans="2:15" x14ac:dyDescent="0.2">
      <c r="B863" s="80">
        <v>3</v>
      </c>
      <c r="F863" s="19" t="s">
        <v>105</v>
      </c>
      <c r="G863" s="19"/>
      <c r="H863" s="114">
        <v>0</v>
      </c>
      <c r="I863" s="22"/>
      <c r="N863" s="21"/>
      <c r="O863" s="21"/>
    </row>
    <row r="864" spans="2:15" ht="16.5" x14ac:dyDescent="0.35">
      <c r="B864" s="80">
        <v>4</v>
      </c>
      <c r="F864" s="19" t="s">
        <v>105</v>
      </c>
      <c r="G864" s="19"/>
      <c r="H864" s="115">
        <v>0</v>
      </c>
      <c r="I864" s="22"/>
      <c r="N864" s="21"/>
      <c r="O864" s="21"/>
    </row>
    <row r="865" spans="2:15" x14ac:dyDescent="0.2">
      <c r="B865" s="80"/>
      <c r="C865" s="116" t="s">
        <v>142</v>
      </c>
      <c r="F865" s="19"/>
      <c r="G865" s="19"/>
      <c r="H865" s="114">
        <f>SUM(H861:H864)</f>
        <v>4075000</v>
      </c>
      <c r="I865" s="22">
        <f>I810-H865</f>
        <v>0</v>
      </c>
      <c r="N865" s="21"/>
      <c r="O865" s="21"/>
    </row>
    <row r="866" spans="2:15" x14ac:dyDescent="0.2">
      <c r="B866" s="80">
        <v>1</v>
      </c>
      <c r="C866" s="19" t="s">
        <v>832</v>
      </c>
      <c r="E866" s="19" t="s">
        <v>788</v>
      </c>
      <c r="F866" s="19" t="s">
        <v>143</v>
      </c>
      <c r="G866" s="19"/>
      <c r="H866" s="114">
        <v>1600000</v>
      </c>
      <c r="I866" s="22"/>
      <c r="N866" s="21"/>
      <c r="O866" s="21"/>
    </row>
    <row r="867" spans="2:15" x14ac:dyDescent="0.2">
      <c r="B867" s="80">
        <v>2</v>
      </c>
      <c r="C867" s="19" t="s">
        <v>834</v>
      </c>
      <c r="E867" s="19" t="s">
        <v>790</v>
      </c>
      <c r="F867" s="19" t="s">
        <v>143</v>
      </c>
      <c r="G867" s="19"/>
      <c r="H867" s="114">
        <v>1718750</v>
      </c>
      <c r="I867" s="22"/>
      <c r="N867" s="21"/>
      <c r="O867" s="21"/>
    </row>
    <row r="868" spans="2:15" x14ac:dyDescent="0.2">
      <c r="B868" s="80">
        <v>3</v>
      </c>
      <c r="C868" s="19" t="s">
        <v>843</v>
      </c>
      <c r="E868" s="19" t="s">
        <v>800</v>
      </c>
      <c r="F868" s="19" t="s">
        <v>143</v>
      </c>
      <c r="G868" s="19"/>
      <c r="H868" s="114">
        <v>3541000</v>
      </c>
      <c r="I868" s="22"/>
      <c r="N868" s="21"/>
      <c r="O868" s="21"/>
    </row>
    <row r="869" spans="2:15" x14ac:dyDescent="0.2">
      <c r="B869" s="80">
        <v>4</v>
      </c>
      <c r="C869" s="19" t="s">
        <v>846</v>
      </c>
      <c r="E869" s="19" t="s">
        <v>803</v>
      </c>
      <c r="F869" s="19" t="s">
        <v>143</v>
      </c>
      <c r="G869" s="19"/>
      <c r="H869" s="114">
        <v>8000000</v>
      </c>
      <c r="I869" s="22"/>
      <c r="N869" s="21"/>
      <c r="O869" s="21"/>
    </row>
    <row r="870" spans="2:15" x14ac:dyDescent="0.2">
      <c r="B870" s="80">
        <v>5</v>
      </c>
      <c r="C870" s="19" t="s">
        <v>859</v>
      </c>
      <c r="E870" s="19" t="s">
        <v>816</v>
      </c>
      <c r="F870" s="19" t="s">
        <v>143</v>
      </c>
      <c r="G870" s="19"/>
      <c r="H870" s="114">
        <v>2000000</v>
      </c>
      <c r="I870" s="22"/>
      <c r="N870" s="21"/>
      <c r="O870" s="21"/>
    </row>
    <row r="871" spans="2:15" x14ac:dyDescent="0.2">
      <c r="B871" s="80">
        <v>6</v>
      </c>
      <c r="C871" s="19" t="s">
        <v>860</v>
      </c>
      <c r="E871" s="19" t="s">
        <v>817</v>
      </c>
      <c r="F871" s="19" t="s">
        <v>143</v>
      </c>
      <c r="G871" s="19"/>
      <c r="H871" s="114">
        <v>265000</v>
      </c>
      <c r="I871" s="22"/>
      <c r="N871" s="21"/>
      <c r="O871" s="21"/>
    </row>
    <row r="872" spans="2:15" x14ac:dyDescent="0.2">
      <c r="B872" s="80">
        <v>7</v>
      </c>
      <c r="C872" s="19" t="s">
        <v>864</v>
      </c>
      <c r="E872" s="19" t="s">
        <v>821</v>
      </c>
      <c r="F872" s="19" t="s">
        <v>143</v>
      </c>
      <c r="G872" s="19"/>
      <c r="H872" s="114">
        <v>500000</v>
      </c>
      <c r="I872" s="22"/>
      <c r="N872" s="21"/>
      <c r="O872" s="21"/>
    </row>
    <row r="873" spans="2:15" x14ac:dyDescent="0.2">
      <c r="B873" s="80">
        <v>8</v>
      </c>
      <c r="C873" s="19" t="s">
        <v>868</v>
      </c>
      <c r="E873" s="19" t="s">
        <v>825</v>
      </c>
      <c r="F873" s="19" t="s">
        <v>143</v>
      </c>
      <c r="G873" s="19"/>
      <c r="H873" s="114">
        <v>2550000</v>
      </c>
      <c r="I873" s="22"/>
      <c r="N873" s="21"/>
      <c r="O873" s="21"/>
    </row>
    <row r="874" spans="2:15" x14ac:dyDescent="0.2">
      <c r="B874" s="80">
        <v>9</v>
      </c>
      <c r="C874" s="19" t="s">
        <v>869</v>
      </c>
      <c r="E874" s="19" t="s">
        <v>826</v>
      </c>
      <c r="F874" s="19" t="s">
        <v>143</v>
      </c>
      <c r="G874" s="19"/>
      <c r="H874" s="114">
        <v>300000</v>
      </c>
      <c r="I874" s="22"/>
      <c r="N874" s="21"/>
      <c r="O874" s="21"/>
    </row>
    <row r="875" spans="2:15" x14ac:dyDescent="0.2">
      <c r="B875" s="80">
        <v>10</v>
      </c>
      <c r="C875" s="19" t="s">
        <v>871</v>
      </c>
      <c r="E875" s="19" t="s">
        <v>828</v>
      </c>
      <c r="F875" s="19" t="s">
        <v>143</v>
      </c>
      <c r="G875" s="19"/>
      <c r="H875" s="114">
        <v>750000</v>
      </c>
      <c r="I875" s="22"/>
      <c r="N875" s="21"/>
      <c r="O875" s="21"/>
    </row>
    <row r="876" spans="2:15" ht="16.5" x14ac:dyDescent="0.35">
      <c r="B876" s="80">
        <v>11</v>
      </c>
      <c r="C876" s="19" t="s">
        <v>872</v>
      </c>
      <c r="E876" s="19" t="s">
        <v>829</v>
      </c>
      <c r="F876" s="19" t="s">
        <v>143</v>
      </c>
      <c r="G876" s="19"/>
      <c r="H876" s="115">
        <v>11865988</v>
      </c>
      <c r="I876" s="22"/>
      <c r="N876" s="21"/>
      <c r="O876" s="21"/>
    </row>
    <row r="877" spans="2:15" x14ac:dyDescent="0.2">
      <c r="B877" s="80"/>
      <c r="C877" s="116" t="s">
        <v>144</v>
      </c>
      <c r="F877" s="19"/>
      <c r="G877" s="19"/>
      <c r="H877" s="114">
        <f>SUM(H866:H876)</f>
        <v>33090738</v>
      </c>
      <c r="I877" s="22">
        <f>I811-H877</f>
        <v>0</v>
      </c>
      <c r="N877" s="21"/>
      <c r="O877" s="21"/>
    </row>
    <row r="878" spans="2:15" x14ac:dyDescent="0.2">
      <c r="B878" s="20"/>
      <c r="I878" s="22"/>
    </row>
    <row r="879" spans="2:15" ht="15" thickBot="1" x14ac:dyDescent="0.25">
      <c r="B879" s="20"/>
      <c r="C879" s="19" t="s">
        <v>27</v>
      </c>
      <c r="H879" s="117">
        <f>H850+H855+H860+H865+H877</f>
        <v>87707423</v>
      </c>
      <c r="I879" s="81"/>
    </row>
    <row r="880" spans="2:15" x14ac:dyDescent="0.2">
      <c r="B880" s="20"/>
      <c r="I880" s="22"/>
    </row>
    <row r="881" spans="2:9" ht="15" x14ac:dyDescent="0.25">
      <c r="B881" s="20"/>
      <c r="C881" s="19" t="s">
        <v>28</v>
      </c>
      <c r="H881" s="19"/>
      <c r="I881" s="82">
        <f>I813-H879</f>
        <v>44237753</v>
      </c>
    </row>
    <row r="882" spans="2:9" x14ac:dyDescent="0.2">
      <c r="B882" s="24"/>
      <c r="C882" s="25"/>
      <c r="D882" s="25"/>
      <c r="E882" s="25"/>
      <c r="F882" s="23"/>
      <c r="G882" s="23"/>
      <c r="H882" s="23"/>
      <c r="I882" s="37"/>
    </row>
  </sheetData>
  <mergeCells count="50">
    <mergeCell ref="B722:I722"/>
    <mergeCell ref="B797:I797"/>
    <mergeCell ref="B798:I798"/>
    <mergeCell ref="B799:I799"/>
    <mergeCell ref="B643:I643"/>
    <mergeCell ref="B644:I644"/>
    <mergeCell ref="B645:I645"/>
    <mergeCell ref="B720:I720"/>
    <mergeCell ref="B721:I721"/>
    <mergeCell ref="B79:I79"/>
    <mergeCell ref="B143:I143"/>
    <mergeCell ref="B144:I144"/>
    <mergeCell ref="B145:I145"/>
    <mergeCell ref="B221:I221"/>
    <mergeCell ref="B430:I430"/>
    <mergeCell ref="B431:I431"/>
    <mergeCell ref="B432:I432"/>
    <mergeCell ref="B292:I292"/>
    <mergeCell ref="B293:I293"/>
    <mergeCell ref="B294:I294"/>
    <mergeCell ref="B357:I357"/>
    <mergeCell ref="B358:I358"/>
    <mergeCell ref="B2:I2"/>
    <mergeCell ref="B11:C12"/>
    <mergeCell ref="B567:I567"/>
    <mergeCell ref="B568:I568"/>
    <mergeCell ref="B569:I569"/>
    <mergeCell ref="B16:I16"/>
    <mergeCell ref="B17:I17"/>
    <mergeCell ref="B18:I18"/>
    <mergeCell ref="B222:I222"/>
    <mergeCell ref="B223:I223"/>
    <mergeCell ref="B359:I359"/>
    <mergeCell ref="B496:I496"/>
    <mergeCell ref="B497:I497"/>
    <mergeCell ref="B498:I498"/>
    <mergeCell ref="B77:I77"/>
    <mergeCell ref="B78:I78"/>
    <mergeCell ref="H4:I4"/>
    <mergeCell ref="H5:I9"/>
    <mergeCell ref="H11:I11"/>
    <mergeCell ref="H12:I12"/>
    <mergeCell ref="B4:G4"/>
    <mergeCell ref="E5:F5"/>
    <mergeCell ref="E6:F6"/>
    <mergeCell ref="E7:F7"/>
    <mergeCell ref="E8:F8"/>
    <mergeCell ref="E9:F9"/>
    <mergeCell ref="E11:F11"/>
    <mergeCell ref="E12:F12"/>
  </mergeCells>
  <phoneticPr fontId="41" type="noConversion"/>
  <conditionalFormatting sqref="H5">
    <cfRule type="cellIs" dxfId="0" priority="1" operator="lessThanOrEqual">
      <formula>0</formula>
    </cfRule>
  </conditionalFormatting>
  <pageMargins left="0.11811023622047245" right="0.11811023622047245" top="0.35433070866141736" bottom="0.55118110236220474" header="0.31496062992125984" footer="0.31496062992125984"/>
  <pageSetup paperSize="9" scale="60" orientation="portrait" r:id="rId1"/>
  <rowBreaks count="11" manualBreakCount="11">
    <brk id="74" max="16383" man="1"/>
    <brk id="140" max="16383" man="1"/>
    <brk id="218" max="16383" man="1"/>
    <brk id="289" max="16383" man="1"/>
    <brk id="354" max="16383" man="1"/>
    <brk id="427" max="16383" man="1"/>
    <brk id="493" max="16383" man="1"/>
    <brk id="564" max="16383" man="1"/>
    <brk id="640" max="16383" man="1"/>
    <brk id="717" max="16383" man="1"/>
    <brk id="795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24"/>
  <sheetViews>
    <sheetView showGridLines="0" zoomScale="99" zoomScaleNormal="99" workbookViewId="0">
      <selection activeCell="B2" sqref="B2:Q25"/>
    </sheetView>
  </sheetViews>
  <sheetFormatPr defaultColWidth="9.140625" defaultRowHeight="14.25" x14ac:dyDescent="0.2"/>
  <cols>
    <col min="1" max="1" width="4.5703125" style="19" customWidth="1"/>
    <col min="2" max="2" width="12.42578125" style="19" customWidth="1"/>
    <col min="3" max="3" width="15.5703125" style="19" customWidth="1"/>
    <col min="4" max="4" width="4.42578125" style="38" customWidth="1"/>
    <col min="5" max="5" width="16" style="19" customWidth="1"/>
    <col min="6" max="6" width="11.140625" style="19" customWidth="1"/>
    <col min="7" max="7" width="17.7109375" style="19" customWidth="1"/>
    <col min="8" max="8" width="16.85546875" style="19" customWidth="1"/>
    <col min="9" max="9" width="13.42578125" style="19" customWidth="1"/>
    <col min="10" max="10" width="17.140625" style="19" customWidth="1"/>
    <col min="11" max="11" width="16.5703125" style="19" customWidth="1"/>
    <col min="12" max="12" width="14.7109375" style="19" customWidth="1"/>
    <col min="13" max="13" width="16.42578125" style="19" customWidth="1"/>
    <col min="14" max="14" width="15.28515625" style="19" customWidth="1"/>
    <col min="15" max="15" width="16.5703125" style="19" bestFit="1" customWidth="1"/>
    <col min="16" max="17" width="6.42578125" style="19" bestFit="1" customWidth="1"/>
    <col min="18" max="16384" width="9.140625" style="19"/>
  </cols>
  <sheetData>
    <row r="2" spans="2:17" s="1" customFormat="1" ht="19.149999999999999" customHeight="1" x14ac:dyDescent="0.25">
      <c r="B2" s="197" t="s">
        <v>31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</row>
    <row r="3" spans="2:17" s="1" customFormat="1" ht="17.45" customHeight="1" x14ac:dyDescent="0.25">
      <c r="B3" s="198" t="s">
        <v>173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</row>
    <row r="4" spans="2:17" s="1" customFormat="1" ht="18" customHeight="1" x14ac:dyDescent="0.25">
      <c r="B4" s="166" t="s">
        <v>197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2:17" ht="11.45" customHeight="1" x14ac:dyDescent="0.2">
      <c r="O5" s="25"/>
      <c r="P5" s="25"/>
      <c r="Q5" s="25"/>
    </row>
    <row r="6" spans="2:17" ht="30" x14ac:dyDescent="0.2">
      <c r="B6" s="118" t="s">
        <v>32</v>
      </c>
      <c r="C6" s="199" t="s">
        <v>2</v>
      </c>
      <c r="D6" s="200"/>
      <c r="E6" s="201"/>
      <c r="F6" s="119" t="s">
        <v>138</v>
      </c>
      <c r="G6" s="118" t="s">
        <v>33</v>
      </c>
      <c r="H6" s="118" t="s">
        <v>108</v>
      </c>
      <c r="I6" s="118" t="s">
        <v>109</v>
      </c>
      <c r="J6" s="118" t="s">
        <v>110</v>
      </c>
      <c r="K6" s="118" t="s">
        <v>111</v>
      </c>
      <c r="L6" s="118" t="s">
        <v>104</v>
      </c>
      <c r="M6" s="118" t="s">
        <v>34</v>
      </c>
      <c r="N6" s="118" t="s">
        <v>105</v>
      </c>
      <c r="O6" s="118" t="s">
        <v>106</v>
      </c>
      <c r="P6" s="118" t="s">
        <v>5</v>
      </c>
      <c r="Q6" s="118" t="s">
        <v>7</v>
      </c>
    </row>
    <row r="7" spans="2:17" x14ac:dyDescent="0.2">
      <c r="B7" s="27" t="s">
        <v>95</v>
      </c>
      <c r="C7" s="42" t="str">
        <f>'Rec.Data System-IN'!D16</f>
        <v xml:space="preserve">KIW01/24/0001 </v>
      </c>
      <c r="D7" s="44" t="s">
        <v>46</v>
      </c>
      <c r="E7" s="28" t="str">
        <f>'Rec.Data System-IN'!E16</f>
        <v xml:space="preserve">KIW01/24/0050 </v>
      </c>
      <c r="F7" s="90" t="str">
        <f>'Rec.Data System-IN'!F16</f>
        <v>4941-1</v>
      </c>
      <c r="G7" s="35">
        <f>'Rec.Data System-IN'!I16</f>
        <v>34388577</v>
      </c>
      <c r="H7" s="35">
        <f>'Rec.Data System-IN'!K16</f>
        <v>2106545</v>
      </c>
      <c r="I7" s="35">
        <f>'Rec.Data System-IN'!M16</f>
        <v>0</v>
      </c>
      <c r="J7" s="35">
        <f>'Rec.Data System-IN'!R16</f>
        <v>2106545</v>
      </c>
      <c r="K7" s="35">
        <f>'Rec.Data System-IN'!S16</f>
        <v>4509222</v>
      </c>
      <c r="L7" s="35">
        <f>'Rec.Data System-IN'!T16</f>
        <v>100000</v>
      </c>
      <c r="M7" s="35">
        <f>'Rec.Data System-IN'!U16</f>
        <v>277751</v>
      </c>
      <c r="N7" s="35">
        <f>'Rec.Data System-IN'!V16</f>
        <v>100000</v>
      </c>
      <c r="O7" s="76">
        <f>'Rec.Data System-IN'!W16</f>
        <v>2400000</v>
      </c>
      <c r="P7" s="28">
        <f>'Rec.Data System-IN'!J16</f>
        <v>49</v>
      </c>
      <c r="Q7" s="29">
        <f>'Rec.Data System-IN'!L16</f>
        <v>23</v>
      </c>
    </row>
    <row r="8" spans="2:17" x14ac:dyDescent="0.2">
      <c r="B8" s="30" t="s">
        <v>67</v>
      </c>
      <c r="C8" s="43" t="str">
        <f>'Rec.Data System-IN'!D17</f>
        <v>KIW01/24/0153</v>
      </c>
      <c r="D8" s="45" t="s">
        <v>46</v>
      </c>
      <c r="E8" s="31" t="str">
        <f>'Rec.Data System-IN'!E17</f>
        <v>KIW01/24/0218</v>
      </c>
      <c r="F8" s="10" t="str">
        <f>'Rec.Data System-IN'!F17</f>
        <v>5279-1</v>
      </c>
      <c r="G8" s="36">
        <f>'Rec.Data System-IN'!I17</f>
        <v>69280726</v>
      </c>
      <c r="H8" s="36">
        <f>'Rec.Data System-IN'!K17</f>
        <v>4613216</v>
      </c>
      <c r="I8" s="36">
        <f>'Rec.Data System-IN'!M17</f>
        <v>0</v>
      </c>
      <c r="J8" s="36">
        <f>'Rec.Data System-IN'!R17</f>
        <v>4613216</v>
      </c>
      <c r="K8" s="36">
        <f>'Rec.Data System-IN'!S17</f>
        <v>36074547</v>
      </c>
      <c r="L8" s="36">
        <f>'Rec.Data System-IN'!T17</f>
        <v>27380000</v>
      </c>
      <c r="M8" s="36">
        <f>'Rec.Data System-IN'!U17</f>
        <v>3552500</v>
      </c>
      <c r="N8" s="36">
        <f>'Rec.Data System-IN'!V17</f>
        <v>2581000</v>
      </c>
      <c r="O8" s="36">
        <f>'Rec.Data System-IN'!W17</f>
        <v>3058000</v>
      </c>
      <c r="P8" s="31">
        <f>'Rec.Data System-IN'!J17</f>
        <v>50</v>
      </c>
      <c r="Q8" s="32">
        <f>'Rec.Data System-IN'!L17</f>
        <v>21</v>
      </c>
    </row>
    <row r="9" spans="2:17" x14ac:dyDescent="0.2">
      <c r="B9" s="30" t="s">
        <v>68</v>
      </c>
      <c r="C9" s="43" t="str">
        <f>'Rec.Data System-IN'!D18</f>
        <v>KIW01/24/0219</v>
      </c>
      <c r="D9" s="45" t="s">
        <v>46</v>
      </c>
      <c r="E9" s="31" t="str">
        <f>'Rec.Data System-IN'!E18</f>
        <v>KIW01/24/0289</v>
      </c>
      <c r="F9" s="10" t="str">
        <f>'Rec.Data System-IN'!F18</f>
        <v>5517-1</v>
      </c>
      <c r="G9" s="36">
        <f>'Rec.Data System-IN'!I18</f>
        <v>61231814</v>
      </c>
      <c r="H9" s="36">
        <f>'Rec.Data System-IN'!K18</f>
        <v>1897115</v>
      </c>
      <c r="I9" s="36">
        <f>'Rec.Data System-IN'!M18</f>
        <v>0</v>
      </c>
      <c r="J9" s="36">
        <f>'Rec.Data System-IN'!R18</f>
        <v>1897115</v>
      </c>
      <c r="K9" s="36">
        <f>'Rec.Data System-IN'!S18</f>
        <v>24397399</v>
      </c>
      <c r="L9" s="36">
        <f>'Rec.Data System-IN'!T18</f>
        <v>33034000</v>
      </c>
      <c r="M9" s="36">
        <f>'Rec.Data System-IN'!U18</f>
        <v>1345000</v>
      </c>
      <c r="N9" s="36">
        <f>'Rec.Data System-IN'!V18</f>
        <v>732000</v>
      </c>
      <c r="O9" s="36">
        <f>'Rec.Data System-IN'!W18</f>
        <v>5085040</v>
      </c>
      <c r="P9" s="31">
        <f>'Rec.Data System-IN'!J18</f>
        <v>58</v>
      </c>
      <c r="Q9" s="32">
        <f>'Rec.Data System-IN'!L18</f>
        <v>19</v>
      </c>
    </row>
    <row r="10" spans="2:17" x14ac:dyDescent="0.2">
      <c r="B10" s="30" t="s">
        <v>96</v>
      </c>
      <c r="C10" s="43" t="str">
        <f>'Rec.Data System-IN'!D19</f>
        <v>KIW01/24/0290</v>
      </c>
      <c r="D10" s="45" t="s">
        <v>46</v>
      </c>
      <c r="E10" s="31" t="str">
        <f>'Rec.Data System-IN'!E19</f>
        <v>KIW01/24/0352</v>
      </c>
      <c r="F10" s="10" t="str">
        <f>'Rec.Data System-IN'!F19</f>
        <v>5779-1</v>
      </c>
      <c r="G10" s="36">
        <f>'Rec.Data System-IN'!I19</f>
        <v>62082393</v>
      </c>
      <c r="H10" s="36">
        <f>'Rec.Data System-IN'!K19</f>
        <v>1588466</v>
      </c>
      <c r="I10" s="36">
        <f>'Rec.Data System-IN'!M19</f>
        <v>0</v>
      </c>
      <c r="J10" s="36">
        <f>'Rec.Data System-IN'!R19</f>
        <v>1588466</v>
      </c>
      <c r="K10" s="36">
        <f>'Rec.Data System-IN'!S19</f>
        <v>21310816</v>
      </c>
      <c r="L10" s="36">
        <f>'Rec.Data System-IN'!T19</f>
        <v>1100000</v>
      </c>
      <c r="M10" s="36">
        <f>'Rec.Data System-IN'!U19</f>
        <v>16039795</v>
      </c>
      <c r="N10" s="36">
        <f>'Rec.Data System-IN'!V19</f>
        <v>600000</v>
      </c>
      <c r="O10" s="36">
        <f>'Rec.Data System-IN'!W19</f>
        <v>2648120</v>
      </c>
      <c r="P10" s="31">
        <f>'Rec.Data System-IN'!J19</f>
        <v>47</v>
      </c>
      <c r="Q10" s="32">
        <f>'Rec.Data System-IN'!L19</f>
        <v>19</v>
      </c>
    </row>
    <row r="11" spans="2:17" x14ac:dyDescent="0.2">
      <c r="B11" s="30" t="s">
        <v>70</v>
      </c>
      <c r="C11" s="43" t="str">
        <f>'Rec.Data System-IN'!D20</f>
        <v>KIW01/24/0353</v>
      </c>
      <c r="D11" s="45" t="s">
        <v>46</v>
      </c>
      <c r="E11" s="31" t="str">
        <f>'Rec.Data System-IN'!E20</f>
        <v>KIW01/24/0418</v>
      </c>
      <c r="F11" s="10" t="str">
        <f>'Rec.Data System-IN'!F20</f>
        <v>6125-1</v>
      </c>
      <c r="G11" s="36">
        <f>'Rec.Data System-IN'!I20</f>
        <v>37687853</v>
      </c>
      <c r="H11" s="36">
        <f>'Rec.Data System-IN'!K20</f>
        <v>1996679</v>
      </c>
      <c r="I11" s="36">
        <f>'Rec.Data System-IN'!M20</f>
        <v>0</v>
      </c>
      <c r="J11" s="36">
        <f>'Rec.Data System-IN'!R20</f>
        <v>1996679</v>
      </c>
      <c r="K11" s="36">
        <f>'Rec.Data System-IN'!S20</f>
        <v>10217270</v>
      </c>
      <c r="L11" s="36">
        <f>'Rec.Data System-IN'!T20</f>
        <v>3900000</v>
      </c>
      <c r="M11" s="36">
        <f>'Rec.Data System-IN'!U20</f>
        <v>32466000</v>
      </c>
      <c r="N11" s="36">
        <f>'Rec.Data System-IN'!V20</f>
        <v>350000</v>
      </c>
      <c r="O11" s="36">
        <f>'Rec.Data System-IN'!W20</f>
        <v>5729000</v>
      </c>
      <c r="P11" s="31">
        <f>'Rec.Data System-IN'!J20</f>
        <v>49</v>
      </c>
      <c r="Q11" s="32">
        <f>'Rec.Data System-IN'!L20</f>
        <v>19</v>
      </c>
    </row>
    <row r="12" spans="2:17" x14ac:dyDescent="0.2">
      <c r="B12" s="30" t="s">
        <v>97</v>
      </c>
      <c r="C12" s="43" t="str">
        <f>'Rec.Data System-IN'!D21</f>
        <v>KIW01/24/0419</v>
      </c>
      <c r="D12" s="45" t="s">
        <v>46</v>
      </c>
      <c r="E12" s="31" t="str">
        <f>'Rec.Data System-IN'!E21</f>
        <v>KIW01/24/0493</v>
      </c>
      <c r="F12" s="10" t="str">
        <f>'Rec.Data System-IN'!F21</f>
        <v>6491-1</v>
      </c>
      <c r="G12" s="36">
        <f>'Rec.Data System-IN'!I21</f>
        <v>59067101</v>
      </c>
      <c r="H12" s="36">
        <f>'Rec.Data System-IN'!K21</f>
        <v>2416577</v>
      </c>
      <c r="I12" s="36">
        <f>'Rec.Data System-IN'!M21</f>
        <v>0</v>
      </c>
      <c r="J12" s="36">
        <f>'Rec.Data System-IN'!R21</f>
        <v>2416577</v>
      </c>
      <c r="K12" s="36">
        <f>'Rec.Data System-IN'!S21</f>
        <v>16426150</v>
      </c>
      <c r="L12" s="36">
        <f>'Rec.Data System-IN'!T21</f>
        <v>590000</v>
      </c>
      <c r="M12" s="36">
        <f>'Rec.Data System-IN'!U21</f>
        <v>69316843</v>
      </c>
      <c r="N12" s="36">
        <f>'Rec.Data System-IN'!V21</f>
        <v>667000</v>
      </c>
      <c r="O12" s="36">
        <f>'Rec.Data System-IN'!W21</f>
        <v>4460000</v>
      </c>
      <c r="P12" s="31">
        <f>'Rec.Data System-IN'!J21</f>
        <v>55</v>
      </c>
      <c r="Q12" s="32">
        <f>'Rec.Data System-IN'!L21</f>
        <v>22</v>
      </c>
    </row>
    <row r="13" spans="2:17" x14ac:dyDescent="0.2">
      <c r="B13" s="30" t="s">
        <v>72</v>
      </c>
      <c r="C13" s="43" t="str">
        <f>'Rec.Data System-IN'!D22</f>
        <v>KIW01/24/0494</v>
      </c>
      <c r="D13" s="45" t="s">
        <v>46</v>
      </c>
      <c r="E13" s="31" t="str">
        <f>'Rec.Data System-IN'!E22</f>
        <v>KIW01/24/0564</v>
      </c>
      <c r="F13" s="10" t="str">
        <f>'Rec.Data System-IN'!F22</f>
        <v>6722-1</v>
      </c>
      <c r="G13" s="36">
        <f>'Rec.Data System-IN'!I22</f>
        <v>58319968</v>
      </c>
      <c r="H13" s="36">
        <f>'Rec.Data System-IN'!K22</f>
        <v>1518814</v>
      </c>
      <c r="I13" s="36">
        <f>'Rec.Data System-IN'!M22</f>
        <v>0</v>
      </c>
      <c r="J13" s="36">
        <f>'Rec.Data System-IN'!R22</f>
        <v>1518814</v>
      </c>
      <c r="K13" s="36">
        <f>'Rec.Data System-IN'!S22</f>
        <v>19074884</v>
      </c>
      <c r="L13" s="36">
        <f>'Rec.Data System-IN'!T22</f>
        <v>0</v>
      </c>
      <c r="M13" s="36">
        <f>'Rec.Data System-IN'!U22</f>
        <v>34021000</v>
      </c>
      <c r="N13" s="36">
        <f>'Rec.Data System-IN'!V22</f>
        <v>1178000</v>
      </c>
      <c r="O13" s="36">
        <f>'Rec.Data System-IN'!W22</f>
        <v>5772000</v>
      </c>
      <c r="P13" s="31">
        <f>'Rec.Data System-IN'!J22</f>
        <v>48</v>
      </c>
      <c r="Q13" s="32">
        <f>'Rec.Data System-IN'!L22</f>
        <v>17</v>
      </c>
    </row>
    <row r="14" spans="2:17" x14ac:dyDescent="0.2">
      <c r="B14" s="30" t="s">
        <v>73</v>
      </c>
      <c r="C14" s="43" t="str">
        <f>'Rec.Data System-IN'!D23</f>
        <v>KIW01/24/0565</v>
      </c>
      <c r="D14" s="45" t="s">
        <v>46</v>
      </c>
      <c r="E14" s="31" t="str">
        <f>'Rec.Data System-IN'!E23</f>
        <v>KIW01/24/0637</v>
      </c>
      <c r="F14" s="10" t="str">
        <f>'Rec.Data System-IN'!F23</f>
        <v>7171-1</v>
      </c>
      <c r="G14" s="36">
        <f>'Rec.Data System-IN'!I23</f>
        <v>96035088</v>
      </c>
      <c r="H14" s="36">
        <f>'Rec.Data System-IN'!K23</f>
        <v>1910893</v>
      </c>
      <c r="I14" s="36">
        <f>'Rec.Data System-IN'!M23</f>
        <v>0</v>
      </c>
      <c r="J14" s="36">
        <f>'Rec.Data System-IN'!R23</f>
        <v>1910893</v>
      </c>
      <c r="K14" s="36">
        <f>'Rec.Data System-IN'!S23</f>
        <v>11439387</v>
      </c>
      <c r="L14" s="36">
        <f>'Rec.Data System-IN'!T23</f>
        <v>0</v>
      </c>
      <c r="M14" s="36">
        <f>'Rec.Data System-IN'!U23</f>
        <v>32181077</v>
      </c>
      <c r="N14" s="36">
        <f>'Rec.Data System-IN'!V23</f>
        <v>859000</v>
      </c>
      <c r="O14" s="36">
        <f>'Rec.Data System-IN'!W23</f>
        <v>46114923</v>
      </c>
      <c r="P14" s="31">
        <f>'Rec.Data System-IN'!J23</f>
        <v>66</v>
      </c>
      <c r="Q14" s="32">
        <f>'Rec.Data System-IN'!L23</f>
        <v>19</v>
      </c>
    </row>
    <row r="15" spans="2:17" x14ac:dyDescent="0.2">
      <c r="B15" s="30" t="s">
        <v>74</v>
      </c>
      <c r="C15" s="43" t="str">
        <f>'Rec.Data System-IN'!D24</f>
        <v>KIW01/24/0638</v>
      </c>
      <c r="D15" s="45" t="s">
        <v>46</v>
      </c>
      <c r="E15" s="31" t="str">
        <f>'Rec.Data System-IN'!E24</f>
        <v>KIW01/24/0704</v>
      </c>
      <c r="F15" s="10" t="str">
        <f>'Rec.Data System-IN'!F24</f>
        <v>7499-1</v>
      </c>
      <c r="G15" s="36">
        <f>'Rec.Data System-IN'!I24</f>
        <v>41951324</v>
      </c>
      <c r="H15" s="36">
        <f>'Rec.Data System-IN'!K24</f>
        <v>1373438</v>
      </c>
      <c r="I15" s="36">
        <f>'Rec.Data System-IN'!M24</f>
        <v>0</v>
      </c>
      <c r="J15" s="36">
        <f>'Rec.Data System-IN'!R24</f>
        <v>1373438</v>
      </c>
      <c r="K15" s="36">
        <f>'Rec.Data System-IN'!S24</f>
        <v>22111795</v>
      </c>
      <c r="L15" s="36">
        <f>'Rec.Data System-IN'!T24</f>
        <v>0</v>
      </c>
      <c r="M15" s="36">
        <f>'Rec.Data System-IN'!U24</f>
        <v>148842875</v>
      </c>
      <c r="N15" s="36">
        <f>'Rec.Data System-IN'!V24</f>
        <v>834000</v>
      </c>
      <c r="O15" s="36">
        <f>'Rec.Data System-IN'!W24</f>
        <v>61702137</v>
      </c>
      <c r="P15" s="31">
        <f>'Rec.Data System-IN'!J24</f>
        <v>49</v>
      </c>
      <c r="Q15" s="32">
        <f>'Rec.Data System-IN'!L24</f>
        <v>12</v>
      </c>
    </row>
    <row r="16" spans="2:17" x14ac:dyDescent="0.2">
      <c r="B16" s="30" t="s">
        <v>75</v>
      </c>
      <c r="C16" s="43" t="str">
        <f>'Rec.Data System-IN'!D25</f>
        <v>KIW01/24/0705</v>
      </c>
      <c r="D16" s="45" t="s">
        <v>46</v>
      </c>
      <c r="E16" s="31" t="str">
        <f>'Rec.Data System-IN'!E25</f>
        <v>KIW01/24/0780</v>
      </c>
      <c r="F16" s="10">
        <f>'Rec.Data System-IN'!F25</f>
        <v>7593.7740999999996</v>
      </c>
      <c r="G16" s="36">
        <f>'Rec.Data System-IN'!I25</f>
        <v>126324735</v>
      </c>
      <c r="H16" s="36">
        <f>'Rec.Data System-IN'!K25</f>
        <v>1637054</v>
      </c>
      <c r="I16" s="36">
        <f>'Rec.Data System-IN'!M25</f>
        <v>0</v>
      </c>
      <c r="J16" s="36">
        <f>'Rec.Data System-IN'!R25</f>
        <v>1637054</v>
      </c>
      <c r="K16" s="36">
        <f>'Rec.Data System-IN'!S25</f>
        <v>66742440</v>
      </c>
      <c r="L16" s="36">
        <f>'Rec.Data System-IN'!T25</f>
        <v>0</v>
      </c>
      <c r="M16" s="36">
        <f>'Rec.Data System-IN'!U25</f>
        <v>79000</v>
      </c>
      <c r="N16" s="36">
        <f>'Rec.Data System-IN'!V25</f>
        <v>1856000</v>
      </c>
      <c r="O16" s="36">
        <f>'Rec.Data System-IN'!W25</f>
        <v>18141313</v>
      </c>
      <c r="P16" s="31">
        <f>'Rec.Data System-IN'!J25</f>
        <v>56</v>
      </c>
      <c r="Q16" s="32">
        <f>'Rec.Data System-IN'!L25</f>
        <v>19</v>
      </c>
    </row>
    <row r="17" spans="2:17" x14ac:dyDescent="0.2">
      <c r="B17" s="30" t="s">
        <v>76</v>
      </c>
      <c r="C17" s="43" t="str">
        <f>'Rec.Data System-IN'!D26</f>
        <v>KIW01/24/0781</v>
      </c>
      <c r="D17" s="45" t="s">
        <v>46</v>
      </c>
      <c r="E17" s="31" t="str">
        <f>'Rec.Data System-IN'!E26</f>
        <v>KIW01/24/0851</v>
      </c>
      <c r="F17" s="10" t="str">
        <f>'Rec.Data System-IN'!F26</f>
        <v>7983-1</v>
      </c>
      <c r="G17" s="36">
        <f>'Rec.Data System-IN'!I26</f>
        <v>86984175</v>
      </c>
      <c r="H17" s="36">
        <f>'Rec.Data System-IN'!K26</f>
        <v>1791516</v>
      </c>
      <c r="I17" s="36">
        <f>'Rec.Data System-IN'!M26</f>
        <v>0</v>
      </c>
      <c r="J17" s="36">
        <f>'Rec.Data System-IN'!R26</f>
        <v>1791516</v>
      </c>
      <c r="K17" s="36">
        <f>'Rec.Data System-IN'!S26</f>
        <v>25668172</v>
      </c>
      <c r="L17" s="36">
        <f>'Rec.Data System-IN'!T26</f>
        <v>0</v>
      </c>
      <c r="M17" s="36">
        <f>'Rec.Data System-IN'!U26</f>
        <v>125000</v>
      </c>
      <c r="N17" s="36">
        <f>'Rec.Data System-IN'!V26</f>
        <v>728000</v>
      </c>
      <c r="O17" s="36">
        <f>'Rec.Data System-IN'!W26</f>
        <v>72422145</v>
      </c>
      <c r="P17" s="31">
        <f>'Rec.Data System-IN'!J26</f>
        <v>53</v>
      </c>
      <c r="Q17" s="32">
        <f>'Rec.Data System-IN'!L26</f>
        <v>18</v>
      </c>
    </row>
    <row r="18" spans="2:17" x14ac:dyDescent="0.2">
      <c r="B18" s="33" t="s">
        <v>77</v>
      </c>
      <c r="C18" s="43" t="str">
        <f>'Rec.Data System-IN'!D27</f>
        <v>KIW01/24/0852</v>
      </c>
      <c r="D18" s="46" t="s">
        <v>46</v>
      </c>
      <c r="E18" s="31" t="str">
        <f>'Rec.Data System-IN'!E27</f>
        <v>KIW01/24/0925</v>
      </c>
      <c r="F18" s="10" t="str">
        <f>'Rec.Data System-IN'!F27</f>
        <v>8198-1</v>
      </c>
      <c r="G18" s="36">
        <f>'Rec.Data System-IN'!I27</f>
        <v>47101210</v>
      </c>
      <c r="H18" s="36">
        <f>'Rec.Data System-IN'!K27</f>
        <v>1546342</v>
      </c>
      <c r="I18" s="36">
        <f>'Rec.Data System-IN'!M27</f>
        <v>0</v>
      </c>
      <c r="J18" s="36">
        <f>'Rec.Data System-IN'!R27</f>
        <v>1546342</v>
      </c>
      <c r="K18" s="36">
        <f>'Rec.Data System-IN'!S27</f>
        <v>61304315</v>
      </c>
      <c r="L18" s="36">
        <f>'Rec.Data System-IN'!T27</f>
        <v>0</v>
      </c>
      <c r="M18" s="36">
        <f>'Rec.Data System-IN'!U27</f>
        <v>2358122</v>
      </c>
      <c r="N18" s="36">
        <f>'Rec.Data System-IN'!V27</f>
        <v>640000</v>
      </c>
      <c r="O18" s="36">
        <f>'Rec.Data System-IN'!W27</f>
        <v>7825000</v>
      </c>
      <c r="P18" s="31">
        <f>'Rec.Data System-IN'!J27</f>
        <v>53</v>
      </c>
      <c r="Q18" s="32">
        <f>'Rec.Data System-IN'!L27</f>
        <v>17</v>
      </c>
    </row>
    <row r="19" spans="2:17" ht="15" x14ac:dyDescent="0.25">
      <c r="B19" s="120" t="s">
        <v>10</v>
      </c>
      <c r="C19" s="121"/>
      <c r="D19" s="122"/>
      <c r="E19" s="123"/>
      <c r="F19" s="123"/>
      <c r="G19" s="124">
        <f t="shared" ref="G19:Q19" si="0">SUM(G7:G18)</f>
        <v>780454964</v>
      </c>
      <c r="H19" s="124">
        <f t="shared" si="0"/>
        <v>24396655</v>
      </c>
      <c r="I19" s="124">
        <f t="shared" si="0"/>
        <v>0</v>
      </c>
      <c r="J19" s="124">
        <f t="shared" si="0"/>
        <v>24396655</v>
      </c>
      <c r="K19" s="124">
        <f t="shared" si="0"/>
        <v>319276397</v>
      </c>
      <c r="L19" s="124">
        <f t="shared" si="0"/>
        <v>66104000</v>
      </c>
      <c r="M19" s="124">
        <f t="shared" si="0"/>
        <v>340604963</v>
      </c>
      <c r="N19" s="124">
        <f t="shared" si="0"/>
        <v>11125000</v>
      </c>
      <c r="O19" s="124">
        <f t="shared" si="0"/>
        <v>235357678</v>
      </c>
      <c r="P19" s="123">
        <f t="shared" si="0"/>
        <v>633</v>
      </c>
      <c r="Q19" s="125">
        <f t="shared" si="0"/>
        <v>225</v>
      </c>
    </row>
    <row r="21" spans="2:17" ht="15" x14ac:dyDescent="0.25">
      <c r="C21" s="91" t="s">
        <v>35</v>
      </c>
      <c r="E21" s="84" t="str">
        <f>'Rec.Data System-IN'!D10</f>
        <v>KIWI</v>
      </c>
    </row>
    <row r="22" spans="2:17" x14ac:dyDescent="0.2">
      <c r="C22" s="91" t="s">
        <v>36</v>
      </c>
      <c r="E22" s="19" t="str">
        <f>'Rec.Data System-IN'!D34</f>
        <v>Pdt.Hasiholan Sihombing (Pdt.Falmer Sagala)</v>
      </c>
    </row>
    <row r="23" spans="2:17" x14ac:dyDescent="0.2">
      <c r="C23" s="91" t="s">
        <v>37</v>
      </c>
      <c r="E23" s="19" t="str">
        <f>'Rec.Data System-IN'!D35</f>
        <v>Sari Samosir</v>
      </c>
    </row>
    <row r="24" spans="2:17" x14ac:dyDescent="0.2">
      <c r="C24" s="91" t="s">
        <v>151</v>
      </c>
      <c r="E24" s="19" t="str">
        <f>'Rec.Data System-IN'!D36</f>
        <v>VII</v>
      </c>
    </row>
  </sheetData>
  <mergeCells count="4">
    <mergeCell ref="B2:Q2"/>
    <mergeCell ref="B3:Q3"/>
    <mergeCell ref="B4:Q4"/>
    <mergeCell ref="C6:E6"/>
  </mergeCells>
  <pageMargins left="0.7" right="0.7" top="0.75" bottom="0.75" header="0.3" footer="0.3"/>
  <pageSetup paperSize="9"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8A96-1548-4881-ADF7-D6A3787B332A}">
  <dimension ref="B1:I54"/>
  <sheetViews>
    <sheetView showGridLines="0" zoomScaleNormal="100" workbookViewId="0">
      <selection activeCell="B1" sqref="B1:I54"/>
    </sheetView>
  </sheetViews>
  <sheetFormatPr defaultRowHeight="15" x14ac:dyDescent="0.25"/>
  <cols>
    <col min="1" max="1" width="3.5703125" customWidth="1"/>
    <col min="2" max="2" width="41" customWidth="1"/>
    <col min="3" max="3" width="18.140625" customWidth="1"/>
    <col min="4" max="4" width="2" customWidth="1"/>
    <col min="5" max="5" width="17.85546875" customWidth="1"/>
    <col min="6" max="6" width="1.85546875" customWidth="1"/>
    <col min="7" max="7" width="17" customWidth="1"/>
    <col min="8" max="8" width="1.85546875" customWidth="1"/>
    <col min="9" max="9" width="17.85546875" customWidth="1"/>
  </cols>
  <sheetData>
    <row r="1" spans="2:9" ht="14.45" customHeight="1" x14ac:dyDescent="0.25">
      <c r="B1" s="202" t="str">
        <f>'Rec.Data System-IN'!D10</f>
        <v>KIWI</v>
      </c>
      <c r="C1" s="202"/>
      <c r="D1" s="202"/>
      <c r="E1" s="202"/>
      <c r="F1" s="202"/>
      <c r="G1" s="202"/>
      <c r="H1" s="202"/>
      <c r="I1" s="202"/>
    </row>
    <row r="2" spans="2:9" ht="14.45" customHeight="1" x14ac:dyDescent="0.25">
      <c r="B2" s="202"/>
      <c r="C2" s="202"/>
      <c r="D2" s="202"/>
      <c r="E2" s="202"/>
      <c r="F2" s="202"/>
      <c r="G2" s="202"/>
      <c r="H2" s="202"/>
      <c r="I2" s="202"/>
    </row>
    <row r="3" spans="2:9" s="149" customFormat="1" ht="19.899999999999999" customHeight="1" x14ac:dyDescent="0.25">
      <c r="B3" s="203" t="s">
        <v>38</v>
      </c>
      <c r="C3" s="203"/>
      <c r="D3" s="203"/>
      <c r="E3" s="203"/>
      <c r="F3" s="203"/>
      <c r="G3" s="203"/>
      <c r="H3" s="203"/>
      <c r="I3" s="203"/>
    </row>
    <row r="4" spans="2:9" x14ac:dyDescent="0.25">
      <c r="B4" s="204">
        <f>'Rec.Data System-IN'!T10</f>
        <v>2024</v>
      </c>
      <c r="C4" s="204"/>
      <c r="D4" s="204"/>
      <c r="E4" s="204"/>
      <c r="F4" s="204"/>
      <c r="G4" s="204"/>
      <c r="H4" s="204"/>
      <c r="I4" s="204"/>
    </row>
    <row r="6" spans="2:9" x14ac:dyDescent="0.25">
      <c r="B6" s="94" t="s">
        <v>171</v>
      </c>
      <c r="C6" s="145" t="s">
        <v>198</v>
      </c>
      <c r="E6" s="145" t="s">
        <v>199</v>
      </c>
      <c r="G6" s="145" t="s">
        <v>158</v>
      </c>
      <c r="I6" s="145" t="s">
        <v>159</v>
      </c>
    </row>
    <row r="7" spans="2:9" x14ac:dyDescent="0.25">
      <c r="B7" t="s">
        <v>44</v>
      </c>
      <c r="C7" s="147">
        <f>'Rec.Data System-IN'!N29</f>
        <v>780454964</v>
      </c>
      <c r="D7" s="147"/>
      <c r="E7" s="147">
        <v>657258622</v>
      </c>
      <c r="G7" s="54">
        <f>C7-E7</f>
        <v>123196342</v>
      </c>
      <c r="I7" s="95">
        <f>G7/C7</f>
        <v>0.15785195518341275</v>
      </c>
    </row>
    <row r="8" spans="2:9" x14ac:dyDescent="0.25">
      <c r="B8" t="s">
        <v>160</v>
      </c>
      <c r="C8" s="148">
        <f>'Rec.Data System-IN'!O29</f>
        <v>24396655</v>
      </c>
      <c r="D8" s="147"/>
      <c r="E8" s="162">
        <v>11098953</v>
      </c>
      <c r="G8" s="163">
        <f>C8-E8</f>
        <v>13297702</v>
      </c>
      <c r="I8" s="96">
        <f t="shared" ref="I8" si="0">G8/C8</f>
        <v>0.54506250959404068</v>
      </c>
    </row>
    <row r="9" spans="2:9" x14ac:dyDescent="0.25">
      <c r="C9" s="147"/>
      <c r="D9" s="147"/>
      <c r="E9" s="147"/>
      <c r="I9" s="95"/>
    </row>
    <row r="10" spans="2:9" x14ac:dyDescent="0.25">
      <c r="B10" s="93" t="s">
        <v>170</v>
      </c>
      <c r="C10" s="147">
        <f>SUM(C7:C9)</f>
        <v>804851619</v>
      </c>
      <c r="D10" s="147">
        <f t="shared" ref="D10:H10" si="1">SUM(D7:D9)</f>
        <v>0</v>
      </c>
      <c r="E10" s="147">
        <f>SUM(E7:E9)</f>
        <v>668357575</v>
      </c>
      <c r="F10" s="54">
        <f t="shared" si="1"/>
        <v>0</v>
      </c>
      <c r="G10" s="54">
        <f>SUM(G7:G9)</f>
        <v>136494044</v>
      </c>
      <c r="H10" s="54">
        <f t="shared" si="1"/>
        <v>0</v>
      </c>
      <c r="I10" s="95">
        <f>G10/C10</f>
        <v>0.16958907800867579</v>
      </c>
    </row>
    <row r="12" spans="2:9" x14ac:dyDescent="0.25">
      <c r="B12" s="94" t="s">
        <v>157</v>
      </c>
      <c r="C12" s="145" t="s">
        <v>206</v>
      </c>
      <c r="E12" s="145" t="s">
        <v>198</v>
      </c>
      <c r="G12" s="145" t="s">
        <v>158</v>
      </c>
      <c r="I12" s="145" t="s">
        <v>159</v>
      </c>
    </row>
    <row r="14" spans="2:9" x14ac:dyDescent="0.25">
      <c r="B14" t="s">
        <v>44</v>
      </c>
      <c r="C14" s="147">
        <v>574069841</v>
      </c>
      <c r="E14" s="55">
        <f>'Rec.Data System-IN'!N29</f>
        <v>780454964</v>
      </c>
      <c r="G14" s="55">
        <f>E14-C14</f>
        <v>206385123</v>
      </c>
      <c r="I14" s="95">
        <f>G14/C14</f>
        <v>0.35951222004710748</v>
      </c>
    </row>
    <row r="15" spans="2:9" x14ac:dyDescent="0.25">
      <c r="B15" t="s">
        <v>160</v>
      </c>
      <c r="C15" s="147">
        <v>19650647</v>
      </c>
      <c r="E15" s="55">
        <f>'Rec.Data System-IN'!O29</f>
        <v>24396655</v>
      </c>
      <c r="G15" s="55">
        <f t="shared" ref="G15:G16" si="2">E15-C15</f>
        <v>4746008</v>
      </c>
      <c r="I15" s="95">
        <f>G15/C15</f>
        <v>0.24151917237127105</v>
      </c>
    </row>
    <row r="16" spans="2:9" x14ac:dyDescent="0.25">
      <c r="B16" t="s">
        <v>161</v>
      </c>
      <c r="C16" s="148">
        <v>0</v>
      </c>
      <c r="E16" s="56">
        <f>'Rec.Data System-IN'!P29</f>
        <v>0</v>
      </c>
      <c r="G16" s="56">
        <f t="shared" si="2"/>
        <v>0</v>
      </c>
      <c r="I16" s="96"/>
    </row>
    <row r="17" spans="2:9" x14ac:dyDescent="0.25">
      <c r="B17" s="93" t="s">
        <v>162</v>
      </c>
      <c r="C17" s="55">
        <f>SUM(C14:C16)</f>
        <v>593720488</v>
      </c>
      <c r="E17" s="147">
        <f>SUM(E14:E16)</f>
        <v>804851619</v>
      </c>
      <c r="G17" s="54">
        <f>SUM(G14:G16)</f>
        <v>211131131</v>
      </c>
      <c r="I17" s="95">
        <f>G17/C17</f>
        <v>0.35560694850065544</v>
      </c>
    </row>
    <row r="18" spans="2:9" x14ac:dyDescent="0.25">
      <c r="B18" s="93"/>
      <c r="C18" s="55"/>
      <c r="E18" s="147"/>
      <c r="G18" s="54"/>
      <c r="I18" s="95"/>
    </row>
    <row r="19" spans="2:9" x14ac:dyDescent="0.25">
      <c r="B19" s="94" t="s">
        <v>203</v>
      </c>
      <c r="C19" s="145" t="s">
        <v>206</v>
      </c>
      <c r="E19" s="145" t="s">
        <v>198</v>
      </c>
      <c r="G19" s="145" t="s">
        <v>158</v>
      </c>
      <c r="I19" s="145" t="s">
        <v>159</v>
      </c>
    </row>
    <row r="20" spans="2:9" x14ac:dyDescent="0.25">
      <c r="B20" s="39" t="s">
        <v>212</v>
      </c>
      <c r="C20" s="55"/>
      <c r="E20" s="147"/>
      <c r="G20" s="54"/>
      <c r="I20" s="95"/>
    </row>
    <row r="21" spans="2:9" x14ac:dyDescent="0.25">
      <c r="B21" t="s">
        <v>44</v>
      </c>
      <c r="C21" s="55">
        <v>630</v>
      </c>
      <c r="E21" s="147">
        <f>'Rekap T&amp;O'!P19</f>
        <v>633</v>
      </c>
      <c r="G21" s="55">
        <f>E21-C21</f>
        <v>3</v>
      </c>
      <c r="I21" s="95">
        <f>G21/C21</f>
        <v>4.7619047619047623E-3</v>
      </c>
    </row>
    <row r="22" spans="2:9" x14ac:dyDescent="0.25">
      <c r="B22" t="s">
        <v>160</v>
      </c>
      <c r="C22" s="148">
        <v>205</v>
      </c>
      <c r="E22" s="148">
        <f>'Rekap T&amp;O'!Q19</f>
        <v>225</v>
      </c>
      <c r="G22" s="56">
        <f>E22-C22</f>
        <v>20</v>
      </c>
      <c r="I22" s="96">
        <f>G22/C22</f>
        <v>9.7560975609756101E-2</v>
      </c>
    </row>
    <row r="23" spans="2:9" x14ac:dyDescent="0.25">
      <c r="B23" s="93" t="s">
        <v>202</v>
      </c>
      <c r="C23" s="55">
        <f>SUM(C21:C22)</f>
        <v>835</v>
      </c>
      <c r="E23" s="55">
        <f>SUM(E21:E22)</f>
        <v>858</v>
      </c>
      <c r="G23" s="160">
        <f>SUM(G21:G22)</f>
        <v>23</v>
      </c>
      <c r="I23" s="95">
        <f>G23/C23</f>
        <v>2.7544910179640718E-2</v>
      </c>
    </row>
    <row r="24" spans="2:9" x14ac:dyDescent="0.25">
      <c r="B24" s="93"/>
      <c r="C24" s="55"/>
      <c r="E24" s="55"/>
      <c r="G24" s="55"/>
      <c r="I24" s="95"/>
    </row>
    <row r="26" spans="2:9" x14ac:dyDescent="0.25">
      <c r="B26" s="94" t="s">
        <v>164</v>
      </c>
      <c r="C26" s="145" t="s">
        <v>206</v>
      </c>
      <c r="E26" s="145" t="s">
        <v>198</v>
      </c>
      <c r="G26" s="145" t="s">
        <v>158</v>
      </c>
      <c r="I26" s="145" t="s">
        <v>159</v>
      </c>
    </row>
    <row r="28" spans="2:9" x14ac:dyDescent="0.25">
      <c r="B28" t="s">
        <v>160</v>
      </c>
      <c r="C28" s="147">
        <v>19650647</v>
      </c>
      <c r="E28" s="55">
        <f>'Rec.Data System-IN'!R29</f>
        <v>24396655</v>
      </c>
      <c r="G28" s="55">
        <f t="shared" ref="G28:G33" si="3">E28-C28</f>
        <v>4746008</v>
      </c>
      <c r="I28" s="95">
        <f t="shared" ref="I28:I33" si="4">G28/C28</f>
        <v>0.24151917237127105</v>
      </c>
    </row>
    <row r="29" spans="2:9" x14ac:dyDescent="0.25">
      <c r="B29" t="s">
        <v>111</v>
      </c>
      <c r="C29" s="147">
        <v>96281749</v>
      </c>
      <c r="E29" s="55">
        <f>'Rec.Data System-IN'!S29</f>
        <v>319276397</v>
      </c>
      <c r="G29" s="55">
        <f t="shared" si="3"/>
        <v>222994648</v>
      </c>
      <c r="I29" s="95">
        <f t="shared" si="4"/>
        <v>2.3160635355720429</v>
      </c>
    </row>
    <row r="30" spans="2:9" x14ac:dyDescent="0.25">
      <c r="B30" t="s">
        <v>136</v>
      </c>
      <c r="C30" s="147">
        <v>120001</v>
      </c>
      <c r="E30" s="55">
        <f>'Rec.Data System-IN'!T29</f>
        <v>66104000</v>
      </c>
      <c r="G30" s="55">
        <f t="shared" si="3"/>
        <v>65983999</v>
      </c>
      <c r="I30" s="95">
        <f t="shared" si="4"/>
        <v>549.86207614936541</v>
      </c>
    </row>
    <row r="31" spans="2:9" x14ac:dyDescent="0.25">
      <c r="B31" t="s">
        <v>83</v>
      </c>
      <c r="C31" s="147">
        <v>3670000</v>
      </c>
      <c r="E31" s="55">
        <f>'Rec.Data System-IN'!U29</f>
        <v>340604963</v>
      </c>
      <c r="G31" s="55">
        <f t="shared" si="3"/>
        <v>336934963</v>
      </c>
      <c r="I31" s="95">
        <f t="shared" si="4"/>
        <v>91.807891825613083</v>
      </c>
    </row>
    <row r="32" spans="2:9" x14ac:dyDescent="0.25">
      <c r="B32" t="s">
        <v>82</v>
      </c>
      <c r="C32" s="147">
        <v>4683518</v>
      </c>
      <c r="E32" s="55">
        <f>'Rec.Data System-IN'!V29</f>
        <v>11125000</v>
      </c>
      <c r="G32" s="55">
        <f t="shared" si="3"/>
        <v>6441482</v>
      </c>
      <c r="I32" s="95">
        <f t="shared" si="4"/>
        <v>1.3753511783236447</v>
      </c>
    </row>
    <row r="33" spans="2:9" x14ac:dyDescent="0.25">
      <c r="B33" t="s">
        <v>166</v>
      </c>
      <c r="C33" s="148">
        <v>29408000</v>
      </c>
      <c r="E33" s="148">
        <f>'Rec.Data System-IN'!W29</f>
        <v>235357678</v>
      </c>
      <c r="G33" s="56">
        <f t="shared" si="3"/>
        <v>205949678</v>
      </c>
      <c r="I33" s="96">
        <f t="shared" si="4"/>
        <v>7.0031854597388463</v>
      </c>
    </row>
    <row r="34" spans="2:9" x14ac:dyDescent="0.25">
      <c r="C34" s="147"/>
      <c r="E34" s="147"/>
      <c r="G34" s="54"/>
      <c r="I34" s="95"/>
    </row>
    <row r="35" spans="2:9" x14ac:dyDescent="0.25">
      <c r="B35" t="s">
        <v>78</v>
      </c>
      <c r="C35" s="55">
        <f>SUM(C28:C34)</f>
        <v>153813915</v>
      </c>
      <c r="D35" s="55">
        <f t="shared" ref="D35" si="5">SUM(D28:D34)</f>
        <v>0</v>
      </c>
      <c r="E35" s="55">
        <f>'Rec.Data System-IN'!R29+'Rec.Data System-IN'!S29+'Rec.Data System-IN'!T29+'Rec.Data System-IN'!U29+'Rec.Data System-IN'!V29+'Rec.Data System-IN'!W29</f>
        <v>996864693</v>
      </c>
      <c r="F35" s="55">
        <f t="shared" ref="F35" si="6">SUM(F28:F34)</f>
        <v>0</v>
      </c>
      <c r="G35" s="55">
        <f>E35-C35</f>
        <v>843050778</v>
      </c>
      <c r="I35" s="95">
        <f>G35/C35</f>
        <v>5.4809786097701236</v>
      </c>
    </row>
    <row r="37" spans="2:9" x14ac:dyDescent="0.25">
      <c r="B37" s="94" t="s">
        <v>165</v>
      </c>
      <c r="C37" s="145" t="s">
        <v>206</v>
      </c>
      <c r="E37" s="145" t="s">
        <v>198</v>
      </c>
      <c r="G37" s="145" t="s">
        <v>158</v>
      </c>
      <c r="I37" s="145" t="s">
        <v>159</v>
      </c>
    </row>
    <row r="39" spans="2:9" x14ac:dyDescent="0.25">
      <c r="B39" t="s">
        <v>81</v>
      </c>
      <c r="C39" s="147">
        <v>111847921</v>
      </c>
      <c r="E39" s="55">
        <f>'Rec. Data System-Out'!H48+'Rec. Data System-Out'!H114+'Rec. Data System-Out'!H190+'Rec. Data System-Out'!H263+'Rec. Data System-Out'!H328+'Rec. Data System-Out'!H400+'Rec. Data System-Out'!H467+'Rec. Data System-Out'!H538+'Rec. Data System-Out'!H611+'Rec. Data System-Out'!H690+'Rec. Data System-Out'!H766+'Rec. Data System-Out'!H850</f>
        <v>324952410</v>
      </c>
      <c r="G39" s="55">
        <f>E39-C39</f>
        <v>213104489</v>
      </c>
      <c r="I39" s="95">
        <f>G39/C39</f>
        <v>1.9053057678202172</v>
      </c>
    </row>
    <row r="40" spans="2:9" x14ac:dyDescent="0.25">
      <c r="B40" t="s">
        <v>136</v>
      </c>
      <c r="C40" s="147">
        <v>120001</v>
      </c>
      <c r="E40" s="55">
        <f>'Rec. Data System-Out'!H53+'Rec. Data System-Out'!H119+'Rec. Data System-Out'!H197+'Rec. Data System-Out'!H268+'Rec. Data System-Out'!H333+'Rec. Data System-Out'!H405+'Rec. Data System-Out'!H472+'Rec. Data System-Out'!H543+'Rec. Data System-Out'!H616+'Rec. Data System-Out'!H695+'Rec. Data System-Out'!H771+'Rec. Data System-Out'!H855</f>
        <v>66104000</v>
      </c>
      <c r="G40" s="55">
        <f t="shared" ref="G40:G43" si="7">E40-C40</f>
        <v>65983999</v>
      </c>
      <c r="I40" s="95">
        <f t="shared" ref="I40:I43" si="8">G40/C40</f>
        <v>549.86207614936541</v>
      </c>
    </row>
    <row r="41" spans="2:9" x14ac:dyDescent="0.25">
      <c r="B41" t="s">
        <v>83</v>
      </c>
      <c r="C41" s="147">
        <v>3670000</v>
      </c>
      <c r="E41" s="55">
        <f>'Rec. Data System-Out'!H58+'Rec. Data System-Out'!H124+'Rec. Data System-Out'!H202+'Rec. Data System-Out'!H273+'Rec. Data System-Out'!H338+'Rec. Data System-Out'!H410+'Rec. Data System-Out'!H477+'Rec. Data System-Out'!H548+'Rec. Data System-Out'!H621+'Rec. Data System-Out'!H700+'Rec. Data System-Out'!H776+'Rec. Data System-Out'!H860</f>
        <v>338013452</v>
      </c>
      <c r="G41" s="55">
        <f t="shared" si="7"/>
        <v>334343452</v>
      </c>
      <c r="I41" s="95">
        <f t="shared" si="8"/>
        <v>91.101758038147139</v>
      </c>
    </row>
    <row r="42" spans="2:9" x14ac:dyDescent="0.25">
      <c r="B42" t="s">
        <v>82</v>
      </c>
      <c r="C42" s="147">
        <v>6908518</v>
      </c>
      <c r="E42" s="55">
        <f>'Rec. Data System-Out'!H63+'Rec. Data System-Out'!H129+'Rec. Data System-Out'!H207+'Rec. Data System-Out'!H278+'Rec. Data System-Out'!H343+'Rec. Data System-Out'!H415+'Rec. Data System-Out'!H482+'Rec. Data System-Out'!H553+'Rec. Data System-Out'!H626+'Rec. Data System-Out'!H705+'Rec. Data System-Out'!H781+'Rec. Data System-Out'!H865</f>
        <v>11125000</v>
      </c>
      <c r="G42" s="55">
        <f t="shared" si="7"/>
        <v>4216482</v>
      </c>
      <c r="I42" s="95">
        <f t="shared" si="8"/>
        <v>0.6103308987542625</v>
      </c>
    </row>
    <row r="43" spans="2:9" x14ac:dyDescent="0.25">
      <c r="B43" t="s">
        <v>166</v>
      </c>
      <c r="C43" s="148">
        <v>29408000</v>
      </c>
      <c r="E43" s="56">
        <f>'Rec. Data System-Out'!H68+'Rec. Data System-Out'!H134+'Rec. Data System-Out'!H212+'Rec. Data System-Out'!H283+'Rec. Data System-Out'!H348+'Rec. Data System-Out'!H421+'Rec. Data System-Out'!H487+'Rec. Data System-Out'!H558+'Rec. Data System-Out'!H634+'Rec. Data System-Out'!H711+'Rec. Data System-Out'!H788+'Rec. Data System-Out'!H877</f>
        <v>244988678</v>
      </c>
      <c r="G43" s="56">
        <f t="shared" si="7"/>
        <v>215580678</v>
      </c>
      <c r="I43" s="161">
        <f t="shared" si="8"/>
        <v>7.3306813792165393</v>
      </c>
    </row>
    <row r="45" spans="2:9" x14ac:dyDescent="0.25">
      <c r="B45" t="s">
        <v>163</v>
      </c>
      <c r="C45" s="147">
        <f>SUM(C39:C44)</f>
        <v>151954440</v>
      </c>
      <c r="E45" s="55">
        <f>'Rec. Data System-Out'!H70+'Rec. Data System-Out'!H136+'Rec. Data System-Out'!H214+'Rec. Data System-Out'!H285+'Rec. Data System-Out'!H350+'Rec. Data System-Out'!H423+'Rec. Data System-Out'!H489+'Rec. Data System-Out'!H560+'Rec. Data System-Out'!H636+'Rec. Data System-Out'!H713+'Rec. Data System-Out'!H790+'Rec. Data System-Out'!H879</f>
        <v>985183540</v>
      </c>
      <c r="G45" s="55">
        <f>E45-C45</f>
        <v>833229100</v>
      </c>
      <c r="I45" s="95">
        <f>G45/C45</f>
        <v>5.4834139759259424</v>
      </c>
    </row>
    <row r="48" spans="2:9" x14ac:dyDescent="0.25">
      <c r="C48" s="97" t="s">
        <v>39</v>
      </c>
      <c r="D48" s="39"/>
      <c r="E48" s="39"/>
      <c r="F48" s="39"/>
      <c r="G48" s="39"/>
      <c r="H48" s="39"/>
      <c r="I48" s="97" t="s">
        <v>40</v>
      </c>
    </row>
    <row r="49" spans="2:9" x14ac:dyDescent="0.25">
      <c r="B49" s="94" t="s">
        <v>41</v>
      </c>
      <c r="C49" s="146" t="s">
        <v>200</v>
      </c>
      <c r="D49" s="39"/>
      <c r="E49" s="146" t="s">
        <v>42</v>
      </c>
      <c r="F49" s="39"/>
      <c r="G49" s="146" t="s">
        <v>43</v>
      </c>
      <c r="H49" s="39"/>
      <c r="I49" s="146" t="s">
        <v>201</v>
      </c>
    </row>
    <row r="50" spans="2:9" x14ac:dyDescent="0.25">
      <c r="B50" t="s">
        <v>44</v>
      </c>
      <c r="C50" s="147">
        <v>0</v>
      </c>
      <c r="E50" s="147">
        <f>'Rec.Data System-IN'!I29</f>
        <v>780454964</v>
      </c>
      <c r="G50" s="54">
        <f>'Rec.Data System-IN'!N29</f>
        <v>780454964</v>
      </c>
      <c r="I50" s="55">
        <f>C50+E50-G50</f>
        <v>0</v>
      </c>
    </row>
    <row r="51" spans="2:9" x14ac:dyDescent="0.25">
      <c r="B51" t="s">
        <v>62</v>
      </c>
      <c r="C51" s="147">
        <v>0</v>
      </c>
      <c r="E51" s="147">
        <f>'Rec.Data System-IN'!K29+'Rec.Data System-IN'!M29</f>
        <v>24396655</v>
      </c>
      <c r="G51" s="54">
        <f>'Rec.Data System-IN'!O29+'Rec.Data System-IN'!P29</f>
        <v>24396655</v>
      </c>
      <c r="I51" s="55">
        <f>C51+E51-G51</f>
        <v>0</v>
      </c>
    </row>
    <row r="52" spans="2:9" x14ac:dyDescent="0.25">
      <c r="B52" t="s">
        <v>63</v>
      </c>
      <c r="C52" s="147">
        <f>'Rec. Data System-Out'!F26+'Rec. Data System-Out'!F27+'Rec. Data System-Out'!F28+'Rec. Data System-Out'!F29+'Rec. Data System-Out'!F30</f>
        <v>32556600</v>
      </c>
      <c r="E52" s="147">
        <f>'Rekap T&amp;O'!J19+'Rekap T&amp;O'!K19+'Rekap T&amp;O'!L19+'Rekap T&amp;O'!M19+'Rekap T&amp;O'!N19+'Rekap T&amp;O'!O19</f>
        <v>996864693</v>
      </c>
      <c r="G52" s="54">
        <f>'Rec. Data System-Out'!H70+'Rec. Data System-Out'!H136+'Rec. Data System-Out'!H214+'Rec. Data System-Out'!H285+'Rec. Data System-Out'!H350+'Rec. Data System-Out'!H423+'Rec. Data System-Out'!H489+'Rec. Data System-Out'!H560+'Rec. Data System-Out'!H636+'Rec. Data System-Out'!H713+'Rec. Data System-Out'!H790+'Rec. Data System-Out'!H879</f>
        <v>985183540</v>
      </c>
      <c r="I52" s="56">
        <f>C52+E52-G52</f>
        <v>44237753</v>
      </c>
    </row>
    <row r="53" spans="2:9" x14ac:dyDescent="0.25">
      <c r="I53" s="55"/>
    </row>
    <row r="54" spans="2:9" s="41" customFormat="1" x14ac:dyDescent="0.25">
      <c r="B54" s="136" t="s">
        <v>45</v>
      </c>
      <c r="C54" s="136"/>
      <c r="D54" s="136"/>
      <c r="E54" s="136"/>
      <c r="F54" s="136"/>
      <c r="G54" s="136"/>
      <c r="H54" s="136"/>
      <c r="I54" s="139">
        <f>SUM(I50:I53)</f>
        <v>44237753</v>
      </c>
    </row>
  </sheetData>
  <mergeCells count="3">
    <mergeCell ref="B1:I2"/>
    <mergeCell ref="B3:I3"/>
    <mergeCell ref="B4:I4"/>
  </mergeCells>
  <pageMargins left="0.51181102362204722" right="0.11811023622047245" top="0.55118110236220474" bottom="0.35433070866141736" header="0.31496062992125984" footer="0.31496062992125984"/>
  <pageSetup paperSize="9"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D08A-F661-4938-AF03-5E4DED70402A}">
  <dimension ref="B2:J39"/>
  <sheetViews>
    <sheetView showGridLines="0" topLeftCell="A2" zoomScaleNormal="100" workbookViewId="0">
      <selection activeCell="B2" sqref="B2:J39"/>
    </sheetView>
  </sheetViews>
  <sheetFormatPr defaultRowHeight="15" x14ac:dyDescent="0.25"/>
  <cols>
    <col min="1" max="1" width="3" customWidth="1"/>
    <col min="3" max="3" width="23.28515625" customWidth="1"/>
    <col min="4" max="4" width="19.28515625" customWidth="1"/>
    <col min="5" max="5" width="19.5703125" customWidth="1"/>
    <col min="6" max="6" width="20.140625" customWidth="1"/>
    <col min="7" max="7" width="19" customWidth="1"/>
    <col min="8" max="8" width="19.5703125" customWidth="1"/>
    <col min="9" max="9" width="19" customWidth="1"/>
    <col min="10" max="10" width="19.5703125" customWidth="1"/>
    <col min="11" max="11" width="13.28515625" customWidth="1"/>
  </cols>
  <sheetData>
    <row r="2" spans="2:10" ht="23.45" customHeight="1" x14ac:dyDescent="0.25">
      <c r="B2" s="205" t="s">
        <v>204</v>
      </c>
      <c r="C2" s="205"/>
      <c r="D2" s="205"/>
      <c r="E2" s="205"/>
      <c r="F2" s="205"/>
      <c r="G2" s="205"/>
      <c r="H2" s="205"/>
      <c r="I2" s="205"/>
      <c r="J2" s="205"/>
    </row>
    <row r="4" spans="2:10" ht="15.75" x14ac:dyDescent="0.25">
      <c r="B4" s="211" t="s">
        <v>1</v>
      </c>
      <c r="C4" s="206" t="s">
        <v>65</v>
      </c>
      <c r="D4" s="208" t="s">
        <v>78</v>
      </c>
      <c r="E4" s="209"/>
      <c r="F4" s="209"/>
      <c r="G4" s="209"/>
      <c r="H4" s="210"/>
      <c r="I4" s="206" t="s">
        <v>79</v>
      </c>
      <c r="J4" s="206" t="s">
        <v>80</v>
      </c>
    </row>
    <row r="5" spans="2:10" x14ac:dyDescent="0.25">
      <c r="B5" s="212"/>
      <c r="C5" s="207"/>
      <c r="D5" s="133" t="s">
        <v>81</v>
      </c>
      <c r="E5" s="133" t="s">
        <v>136</v>
      </c>
      <c r="F5" s="133" t="s">
        <v>83</v>
      </c>
      <c r="G5" s="133" t="s">
        <v>82</v>
      </c>
      <c r="H5" s="133" t="s">
        <v>137</v>
      </c>
      <c r="I5" s="207"/>
      <c r="J5" s="207"/>
    </row>
    <row r="7" spans="2:10" ht="15.75" x14ac:dyDescent="0.25">
      <c r="B7" s="58">
        <v>1</v>
      </c>
      <c r="C7" s="59" t="s">
        <v>66</v>
      </c>
      <c r="D7" s="60">
        <f>'Rec.Data System-IN'!R16+'Rec.Data System-IN'!S16+'Rec. Data System-Out'!F26</f>
        <v>29541367</v>
      </c>
      <c r="E7" s="61">
        <f>'Rec.Data System-IN'!T16+'Rec. Data System-Out'!F27</f>
        <v>100000</v>
      </c>
      <c r="F7" s="61">
        <f>'Rec.Data System-IN'!U16+'Rec. Data System-Out'!F28</f>
        <v>277751</v>
      </c>
      <c r="G7" s="60">
        <f>'Rec.Data System-IN'!V16+'Rec. Data System-Out'!F29</f>
        <v>100000</v>
      </c>
      <c r="H7" s="60">
        <f>'Rec.Data System-IN'!W16+'Rec. Data System-Out'!F30</f>
        <v>12031000</v>
      </c>
      <c r="I7" s="60">
        <f>'Rec. Data System-Out'!H70</f>
        <v>22262693</v>
      </c>
      <c r="J7" s="60">
        <f t="shared" ref="J7:J18" si="0">D7+E7+F7+G7+H7-I7</f>
        <v>19787425</v>
      </c>
    </row>
    <row r="8" spans="2:10" ht="15.75" x14ac:dyDescent="0.25">
      <c r="B8" s="58">
        <v>2</v>
      </c>
      <c r="C8" s="59" t="s">
        <v>67</v>
      </c>
      <c r="D8" s="60">
        <f>'Rec.Data System-IN'!R17+'Rec.Data System-IN'!S17</f>
        <v>40687763</v>
      </c>
      <c r="E8" s="61">
        <f>'Rec.Data System-IN'!T17</f>
        <v>27380000</v>
      </c>
      <c r="F8" s="61">
        <f>'Rec.Data System-IN'!U17</f>
        <v>3552500</v>
      </c>
      <c r="G8" s="60">
        <f>'Rec.Data System-IN'!V17</f>
        <v>2581000</v>
      </c>
      <c r="H8" s="60">
        <f>'Rec.Data System-IN'!W17</f>
        <v>3058000</v>
      </c>
      <c r="I8" s="60">
        <f>'Rec. Data System-Out'!H136</f>
        <v>51828687</v>
      </c>
      <c r="J8" s="60">
        <f t="shared" si="0"/>
        <v>25430576</v>
      </c>
    </row>
    <row r="9" spans="2:10" ht="15.75" x14ac:dyDescent="0.25">
      <c r="B9" s="58">
        <v>3</v>
      </c>
      <c r="C9" s="62" t="s">
        <v>68</v>
      </c>
      <c r="D9" s="60">
        <f>'Rec.Data System-IN'!R18+'Rec.Data System-IN'!S18</f>
        <v>26294514</v>
      </c>
      <c r="E9" s="61">
        <f>'Rec.Data System-IN'!T18</f>
        <v>33034000</v>
      </c>
      <c r="F9" s="61">
        <f>'Rec.Data System-IN'!U18</f>
        <v>1345000</v>
      </c>
      <c r="G9" s="60">
        <f>'Rec.Data System-IN'!V18</f>
        <v>732000</v>
      </c>
      <c r="H9" s="60">
        <f>'Rec.Data System-IN'!W18</f>
        <v>5085040</v>
      </c>
      <c r="I9" s="60">
        <f>'Rec. Data System-Out'!H214</f>
        <v>66017697</v>
      </c>
      <c r="J9" s="60">
        <f t="shared" si="0"/>
        <v>472857</v>
      </c>
    </row>
    <row r="10" spans="2:10" ht="15.75" x14ac:dyDescent="0.25">
      <c r="B10" s="58">
        <v>4</v>
      </c>
      <c r="C10" s="59" t="s">
        <v>69</v>
      </c>
      <c r="D10" s="60">
        <f>'Rec.Data System-IN'!R19+'Rec.Data System-IN'!S19</f>
        <v>22899282</v>
      </c>
      <c r="E10" s="61">
        <f>'Rec.Data System-IN'!T19</f>
        <v>1100000</v>
      </c>
      <c r="F10" s="61">
        <f>'Rec.Data System-IN'!U19</f>
        <v>16039795</v>
      </c>
      <c r="G10" s="60">
        <f>'Rec.Data System-IN'!V19</f>
        <v>600000</v>
      </c>
      <c r="H10" s="60">
        <f>'Rec.Data System-IN'!W19</f>
        <v>2648120</v>
      </c>
      <c r="I10" s="60">
        <f>'Rec. Data System-Out'!H285</f>
        <v>53337003</v>
      </c>
      <c r="J10" s="60">
        <f t="shared" si="0"/>
        <v>-10049806</v>
      </c>
    </row>
    <row r="11" spans="2:10" ht="15.75" x14ac:dyDescent="0.25">
      <c r="B11" s="58">
        <v>5</v>
      </c>
      <c r="C11" s="59" t="s">
        <v>70</v>
      </c>
      <c r="D11" s="60">
        <f>'Rec.Data System-IN'!R20+'Rec.Data System-IN'!S20</f>
        <v>12213949</v>
      </c>
      <c r="E11" s="61">
        <f>'Rec.Data System-IN'!T20</f>
        <v>3900000</v>
      </c>
      <c r="F11" s="61">
        <f>'Rec.Data System-IN'!U20</f>
        <v>32466000</v>
      </c>
      <c r="G11" s="60">
        <f>'Rec.Data System-IN'!V20</f>
        <v>350000</v>
      </c>
      <c r="H11" s="60">
        <f>'Rec.Data System-IN'!W20</f>
        <v>5729000</v>
      </c>
      <c r="I11" s="60">
        <f>'Rec. Data System-Out'!H350</f>
        <v>52290906</v>
      </c>
      <c r="J11" s="60">
        <f t="shared" si="0"/>
        <v>2368043</v>
      </c>
    </row>
    <row r="12" spans="2:10" ht="15.75" x14ac:dyDescent="0.25">
      <c r="B12" s="58">
        <v>6</v>
      </c>
      <c r="C12" s="59" t="s">
        <v>71</v>
      </c>
      <c r="D12" s="60">
        <f>'Rec.Data System-IN'!R21+'Rec.Data System-IN'!S21</f>
        <v>18842727</v>
      </c>
      <c r="E12" s="61">
        <f>'Rec.Data System-IN'!T21</f>
        <v>590000</v>
      </c>
      <c r="F12" s="61">
        <f>'Rec.Data System-IN'!U21</f>
        <v>69316843</v>
      </c>
      <c r="G12" s="60">
        <f>'Rec.Data System-IN'!V21</f>
        <v>667000</v>
      </c>
      <c r="H12" s="60">
        <f>'Rec.Data System-IN'!W21</f>
        <v>4460000</v>
      </c>
      <c r="I12" s="60">
        <f>'Rec. Data System-Out'!H423</f>
        <v>89789162</v>
      </c>
      <c r="J12" s="60">
        <f t="shared" si="0"/>
        <v>4087408</v>
      </c>
    </row>
    <row r="13" spans="2:10" ht="15.75" x14ac:dyDescent="0.25">
      <c r="B13" s="58">
        <v>7</v>
      </c>
      <c r="C13" s="59" t="s">
        <v>72</v>
      </c>
      <c r="D13" s="60">
        <f>'Rec.Data System-IN'!R22+'Rec.Data System-IN'!S22</f>
        <v>20593698</v>
      </c>
      <c r="E13" s="61">
        <f>'Rec.Data System-IN'!T22</f>
        <v>0</v>
      </c>
      <c r="F13" s="61">
        <f>'Rec.Data System-IN'!U22</f>
        <v>34021000</v>
      </c>
      <c r="G13" s="60">
        <f>'Rec.Data System-IN'!V22</f>
        <v>1178000</v>
      </c>
      <c r="H13" s="60">
        <f>'Rec.Data System-IN'!W22</f>
        <v>5772000</v>
      </c>
      <c r="I13" s="60">
        <f>'Rec. Data System-Out'!H489</f>
        <v>65030846</v>
      </c>
      <c r="J13" s="60">
        <f t="shared" si="0"/>
        <v>-3466148</v>
      </c>
    </row>
    <row r="14" spans="2:10" ht="15.75" x14ac:dyDescent="0.25">
      <c r="B14" s="58">
        <v>8</v>
      </c>
      <c r="C14" s="59" t="s">
        <v>73</v>
      </c>
      <c r="D14" s="60">
        <f>'Rec.Data System-IN'!R23+'Rec.Data System-IN'!S23</f>
        <v>13350280</v>
      </c>
      <c r="E14" s="61">
        <f>'Rec.Data System-IN'!T23</f>
        <v>0</v>
      </c>
      <c r="F14" s="61">
        <f>'Rec.Data System-IN'!U23</f>
        <v>32181077</v>
      </c>
      <c r="G14" s="60">
        <f>'Rec.Data System-IN'!V23</f>
        <v>859000</v>
      </c>
      <c r="H14" s="60">
        <f>'Rec.Data System-IN'!W23</f>
        <v>46114923</v>
      </c>
      <c r="I14" s="60">
        <f>'Rec. Data System-Out'!H560</f>
        <v>43612952</v>
      </c>
      <c r="J14" s="60">
        <f t="shared" si="0"/>
        <v>48892328</v>
      </c>
    </row>
    <row r="15" spans="2:10" ht="15.75" x14ac:dyDescent="0.25">
      <c r="B15" s="58">
        <v>9</v>
      </c>
      <c r="C15" s="59" t="s">
        <v>74</v>
      </c>
      <c r="D15" s="60">
        <f>'Rec.Data System-IN'!R24+'Rec.Data System-IN'!S24</f>
        <v>23485233</v>
      </c>
      <c r="E15" s="61">
        <f>'Rec.Data System-IN'!T24</f>
        <v>0</v>
      </c>
      <c r="F15" s="61">
        <f>'Rec.Data System-IN'!U24</f>
        <v>148842875</v>
      </c>
      <c r="G15" s="60">
        <f>'Rec.Data System-IN'!V24</f>
        <v>834000</v>
      </c>
      <c r="H15" s="60">
        <f>'Rec.Data System-IN'!W24</f>
        <v>61702137</v>
      </c>
      <c r="I15" s="60">
        <f>'Rec. Data System-Out'!H636</f>
        <v>289191322</v>
      </c>
      <c r="J15" s="60">
        <f t="shared" si="0"/>
        <v>-54327077</v>
      </c>
    </row>
    <row r="16" spans="2:10" ht="15.75" x14ac:dyDescent="0.25">
      <c r="B16" s="58">
        <v>10</v>
      </c>
      <c r="C16" s="59" t="s">
        <v>75</v>
      </c>
      <c r="D16" s="60">
        <f>'Rec.Data System-IN'!R25+'Rec.Data System-IN'!S25</f>
        <v>68379494</v>
      </c>
      <c r="E16" s="61">
        <f>'Rec.Data System-IN'!T25</f>
        <v>0</v>
      </c>
      <c r="F16" s="61">
        <f>'Rec.Data System-IN'!U25</f>
        <v>79000</v>
      </c>
      <c r="G16" s="60">
        <f>'Rec.Data System-IN'!V25</f>
        <v>1856000</v>
      </c>
      <c r="H16" s="60">
        <f>'Rec.Data System-IN'!W25</f>
        <v>18141313</v>
      </c>
      <c r="I16" s="60">
        <f>'Rec. Data System-Out'!H713</f>
        <v>67738416</v>
      </c>
      <c r="J16" s="60">
        <f t="shared" si="0"/>
        <v>20717391</v>
      </c>
    </row>
    <row r="17" spans="2:10" ht="15.75" x14ac:dyDescent="0.25">
      <c r="B17" s="58">
        <v>11</v>
      </c>
      <c r="C17" s="59" t="s">
        <v>76</v>
      </c>
      <c r="D17" s="60">
        <f>'Rec.Data System-IN'!R26+'Rec.Data System-IN'!S26</f>
        <v>27459688</v>
      </c>
      <c r="E17" s="61">
        <f>'Rec.Data System-IN'!T26</f>
        <v>0</v>
      </c>
      <c r="F17" s="61">
        <f>'Rec.Data System-IN'!U26</f>
        <v>125000</v>
      </c>
      <c r="G17" s="60">
        <f>'Rec.Data System-IN'!V26</f>
        <v>728000</v>
      </c>
      <c r="H17" s="60">
        <f>'Rec.Data System-IN'!W26</f>
        <v>72422145</v>
      </c>
      <c r="I17" s="60">
        <f>'Rec. Data System-Out'!H790</f>
        <v>96376433</v>
      </c>
      <c r="J17" s="60">
        <f t="shared" si="0"/>
        <v>4358400</v>
      </c>
    </row>
    <row r="18" spans="2:10" ht="15.75" x14ac:dyDescent="0.25">
      <c r="B18" s="58">
        <v>12</v>
      </c>
      <c r="C18" s="59" t="s">
        <v>77</v>
      </c>
      <c r="D18" s="60">
        <f>'Rec.Data System-IN'!R27+'Rec.Data System-IN'!S27</f>
        <v>62850657</v>
      </c>
      <c r="E18" s="61">
        <f>'Rec.Data System-IN'!T27</f>
        <v>0</v>
      </c>
      <c r="F18" s="61">
        <f>'Rec.Data System-IN'!U27</f>
        <v>2358122</v>
      </c>
      <c r="G18" s="60">
        <f>'Rec.Data System-IN'!V27</f>
        <v>640000</v>
      </c>
      <c r="H18" s="60">
        <f>'Rec.Data System-IN'!W27</f>
        <v>7825000</v>
      </c>
      <c r="I18" s="60">
        <f>'Rec. Data System-Out'!H879</f>
        <v>87707423</v>
      </c>
      <c r="J18" s="60">
        <f t="shared" si="0"/>
        <v>-14033644</v>
      </c>
    </row>
    <row r="19" spans="2:10" ht="15.75" x14ac:dyDescent="0.25">
      <c r="B19" s="135"/>
      <c r="C19" s="140" t="s">
        <v>84</v>
      </c>
      <c r="D19" s="141">
        <f t="shared" ref="D19:G19" si="1">SUM(D7:D18)</f>
        <v>366598652</v>
      </c>
      <c r="E19" s="141">
        <f t="shared" si="1"/>
        <v>66104000</v>
      </c>
      <c r="F19" s="141">
        <f t="shared" si="1"/>
        <v>340604963</v>
      </c>
      <c r="G19" s="141">
        <f t="shared" si="1"/>
        <v>11125000</v>
      </c>
      <c r="H19" s="141">
        <f>SUM(H7:H18)</f>
        <v>244988678</v>
      </c>
      <c r="I19" s="138">
        <f>SUM(I7:I18)</f>
        <v>985183540</v>
      </c>
      <c r="J19" s="142">
        <f>SUM(J7:J18)</f>
        <v>44237753</v>
      </c>
    </row>
    <row r="20" spans="2:10" ht="15.75" x14ac:dyDescent="0.25">
      <c r="C20" s="143"/>
      <c r="D20" s="63"/>
      <c r="E20" s="63"/>
      <c r="F20" s="63"/>
      <c r="G20" s="63"/>
      <c r="H20" s="63"/>
      <c r="I20" s="55"/>
      <c r="J20" s="144"/>
    </row>
    <row r="21" spans="2:10" ht="15.75" x14ac:dyDescent="0.25">
      <c r="B21" s="40"/>
      <c r="C21" s="57"/>
    </row>
    <row r="22" spans="2:10" ht="26.45" customHeight="1" x14ac:dyDescent="0.25">
      <c r="B22" s="205" t="s">
        <v>205</v>
      </c>
      <c r="C22" s="205"/>
      <c r="D22" s="205"/>
      <c r="E22" s="205"/>
      <c r="F22" s="205"/>
      <c r="G22" s="205"/>
      <c r="H22" s="205"/>
      <c r="I22" s="205"/>
    </row>
    <row r="24" spans="2:10" ht="15.75" x14ac:dyDescent="0.25">
      <c r="B24" s="211" t="s">
        <v>1</v>
      </c>
      <c r="C24" s="206" t="s">
        <v>65</v>
      </c>
      <c r="D24" s="208" t="s">
        <v>85</v>
      </c>
      <c r="E24" s="209"/>
      <c r="F24" s="210"/>
      <c r="G24" s="213" t="s">
        <v>86</v>
      </c>
      <c r="H24" s="213" t="s">
        <v>87</v>
      </c>
      <c r="I24" s="206" t="s">
        <v>80</v>
      </c>
    </row>
    <row r="25" spans="2:10" x14ac:dyDescent="0.25">
      <c r="B25" s="212"/>
      <c r="C25" s="207"/>
      <c r="D25" s="134" t="s">
        <v>4</v>
      </c>
      <c r="E25" s="134" t="s">
        <v>88</v>
      </c>
      <c r="F25" s="134" t="s">
        <v>89</v>
      </c>
      <c r="G25" s="214"/>
      <c r="H25" s="214"/>
      <c r="I25" s="207"/>
    </row>
    <row r="27" spans="2:10" ht="15.75" x14ac:dyDescent="0.25">
      <c r="B27" s="58">
        <v>1</v>
      </c>
      <c r="C27" s="59" t="s">
        <v>66</v>
      </c>
      <c r="D27" s="60">
        <f>'Rec.Data System-IN'!I16</f>
        <v>34388577</v>
      </c>
      <c r="E27" s="60">
        <f>'Rec.Data System-IN'!K16</f>
        <v>2106545</v>
      </c>
      <c r="F27" s="60">
        <f>'Rec.Data System-IN'!M16</f>
        <v>0</v>
      </c>
      <c r="G27" s="60">
        <f>D27+E27+F27</f>
        <v>36495122</v>
      </c>
      <c r="H27" s="60">
        <f>'Rec.Data System-IN'!Q16</f>
        <v>36495122</v>
      </c>
      <c r="I27" s="60">
        <f>G27-H27</f>
        <v>0</v>
      </c>
    </row>
    <row r="28" spans="2:10" ht="15.75" x14ac:dyDescent="0.25">
      <c r="B28" s="58">
        <v>2</v>
      </c>
      <c r="C28" s="59" t="s">
        <v>67</v>
      </c>
      <c r="D28" s="60">
        <f>'Rec.Data System-IN'!I17</f>
        <v>69280726</v>
      </c>
      <c r="E28" s="60">
        <f>'Rec.Data System-IN'!K17</f>
        <v>4613216</v>
      </c>
      <c r="F28" s="60">
        <f>'Rec.Data System-IN'!M17</f>
        <v>0</v>
      </c>
      <c r="G28" s="60">
        <f t="shared" ref="G28:G38" si="2">D28+E28+F28</f>
        <v>73893942</v>
      </c>
      <c r="H28" s="60">
        <f>'Rec.Data System-IN'!Q17</f>
        <v>73893942</v>
      </c>
      <c r="I28" s="60">
        <f t="shared" ref="I28:I38" si="3">G28-H28</f>
        <v>0</v>
      </c>
    </row>
    <row r="29" spans="2:10" ht="15.75" x14ac:dyDescent="0.25">
      <c r="B29" s="58">
        <v>3</v>
      </c>
      <c r="C29" s="62" t="s">
        <v>68</v>
      </c>
      <c r="D29" s="60">
        <f>'Rec.Data System-IN'!I18</f>
        <v>61231814</v>
      </c>
      <c r="E29" s="60">
        <f>'Rec.Data System-IN'!K18</f>
        <v>1897115</v>
      </c>
      <c r="F29" s="60">
        <f>'Rec.Data System-IN'!M18</f>
        <v>0</v>
      </c>
      <c r="G29" s="60">
        <f t="shared" si="2"/>
        <v>63128929</v>
      </c>
      <c r="H29" s="60">
        <f>'Rec.Data System-IN'!Q18</f>
        <v>63128929</v>
      </c>
      <c r="I29" s="60">
        <f t="shared" si="3"/>
        <v>0</v>
      </c>
    </row>
    <row r="30" spans="2:10" ht="15.75" x14ac:dyDescent="0.25">
      <c r="B30" s="58">
        <v>4</v>
      </c>
      <c r="C30" s="59" t="s">
        <v>69</v>
      </c>
      <c r="D30" s="60">
        <f>'Rec.Data System-IN'!I19</f>
        <v>62082393</v>
      </c>
      <c r="E30" s="60">
        <f>'Rec.Data System-IN'!K19</f>
        <v>1588466</v>
      </c>
      <c r="F30" s="60">
        <f>'Rec.Data System-IN'!M19</f>
        <v>0</v>
      </c>
      <c r="G30" s="60">
        <f t="shared" si="2"/>
        <v>63670859</v>
      </c>
      <c r="H30" s="60">
        <f>'Rec.Data System-IN'!Q19</f>
        <v>63670859</v>
      </c>
      <c r="I30" s="60">
        <f t="shared" si="3"/>
        <v>0</v>
      </c>
    </row>
    <row r="31" spans="2:10" ht="15.75" x14ac:dyDescent="0.25">
      <c r="B31" s="58">
        <v>5</v>
      </c>
      <c r="C31" s="59" t="s">
        <v>70</v>
      </c>
      <c r="D31" s="60">
        <f>'Rec.Data System-IN'!I20</f>
        <v>37687853</v>
      </c>
      <c r="E31" s="60">
        <f>'Rec.Data System-IN'!K20</f>
        <v>1996679</v>
      </c>
      <c r="F31" s="60">
        <f>'Rec.Data System-IN'!M20</f>
        <v>0</v>
      </c>
      <c r="G31" s="60">
        <f t="shared" si="2"/>
        <v>39684532</v>
      </c>
      <c r="H31" s="60">
        <f>'Rec.Data System-IN'!Q20</f>
        <v>39684532</v>
      </c>
      <c r="I31" s="60">
        <f t="shared" si="3"/>
        <v>0</v>
      </c>
    </row>
    <row r="32" spans="2:10" ht="15.75" x14ac:dyDescent="0.25">
      <c r="B32" s="58">
        <v>6</v>
      </c>
      <c r="C32" s="59" t="s">
        <v>71</v>
      </c>
      <c r="D32" s="60">
        <f>'Rec.Data System-IN'!I21</f>
        <v>59067101</v>
      </c>
      <c r="E32" s="60">
        <f>'Rec.Data System-IN'!K21</f>
        <v>2416577</v>
      </c>
      <c r="F32" s="60">
        <f>'Rec.Data System-IN'!M21</f>
        <v>0</v>
      </c>
      <c r="G32" s="60">
        <f t="shared" si="2"/>
        <v>61483678</v>
      </c>
      <c r="H32" s="60">
        <f>'Rec.Data System-IN'!Q21</f>
        <v>61483678</v>
      </c>
      <c r="I32" s="60">
        <f t="shared" si="3"/>
        <v>0</v>
      </c>
    </row>
    <row r="33" spans="2:9" ht="15.75" x14ac:dyDescent="0.25">
      <c r="B33" s="58">
        <v>7</v>
      </c>
      <c r="C33" s="59" t="s">
        <v>72</v>
      </c>
      <c r="D33" s="60">
        <f>'Rec.Data System-IN'!I22</f>
        <v>58319968</v>
      </c>
      <c r="E33" s="60">
        <f>'Rec.Data System-IN'!K22</f>
        <v>1518814</v>
      </c>
      <c r="F33" s="60">
        <f>'Rec.Data System-IN'!M22</f>
        <v>0</v>
      </c>
      <c r="G33" s="60">
        <f t="shared" si="2"/>
        <v>59838782</v>
      </c>
      <c r="H33" s="60">
        <f>'Rec.Data System-IN'!Q22</f>
        <v>59838782</v>
      </c>
      <c r="I33" s="60">
        <f t="shared" si="3"/>
        <v>0</v>
      </c>
    </row>
    <row r="34" spans="2:9" ht="15.75" x14ac:dyDescent="0.25">
      <c r="B34" s="58">
        <v>8</v>
      </c>
      <c r="C34" s="59" t="s">
        <v>73</v>
      </c>
      <c r="D34" s="60">
        <f>'Rec.Data System-IN'!I23</f>
        <v>96035088</v>
      </c>
      <c r="E34" s="60">
        <f>'Rec.Data System-IN'!K23</f>
        <v>1910893</v>
      </c>
      <c r="F34" s="60">
        <f>'Rec.Data System-IN'!M23</f>
        <v>0</v>
      </c>
      <c r="G34" s="60">
        <f t="shared" si="2"/>
        <v>97945981</v>
      </c>
      <c r="H34" s="60">
        <f>'Rec.Data System-IN'!Q23</f>
        <v>97945981</v>
      </c>
      <c r="I34" s="60">
        <f t="shared" si="3"/>
        <v>0</v>
      </c>
    </row>
    <row r="35" spans="2:9" ht="15.75" x14ac:dyDescent="0.25">
      <c r="B35" s="58">
        <v>9</v>
      </c>
      <c r="C35" s="59" t="s">
        <v>74</v>
      </c>
      <c r="D35" s="60">
        <f>'Rec.Data System-IN'!I24</f>
        <v>41951324</v>
      </c>
      <c r="E35" s="60">
        <f>'Rec.Data System-IN'!K24</f>
        <v>1373438</v>
      </c>
      <c r="F35" s="60">
        <f>'Rec.Data System-IN'!M24</f>
        <v>0</v>
      </c>
      <c r="G35" s="60">
        <f t="shared" si="2"/>
        <v>43324762</v>
      </c>
      <c r="H35" s="60">
        <f>'Rec.Data System-IN'!Q24</f>
        <v>43324762</v>
      </c>
      <c r="I35" s="60">
        <f t="shared" si="3"/>
        <v>0</v>
      </c>
    </row>
    <row r="36" spans="2:9" ht="15.75" x14ac:dyDescent="0.25">
      <c r="B36" s="58">
        <v>10</v>
      </c>
      <c r="C36" s="59" t="s">
        <v>75</v>
      </c>
      <c r="D36" s="60">
        <f>'Rec.Data System-IN'!I25</f>
        <v>126324735</v>
      </c>
      <c r="E36" s="60">
        <f>'Rec.Data System-IN'!K25</f>
        <v>1637054</v>
      </c>
      <c r="F36" s="60">
        <f>'Rec.Data System-IN'!M25</f>
        <v>0</v>
      </c>
      <c r="G36" s="60">
        <f t="shared" si="2"/>
        <v>127961789</v>
      </c>
      <c r="H36" s="60">
        <f>'Rec.Data System-IN'!Q25</f>
        <v>127961789</v>
      </c>
      <c r="I36" s="60">
        <f t="shared" si="3"/>
        <v>0</v>
      </c>
    </row>
    <row r="37" spans="2:9" ht="15.75" x14ac:dyDescent="0.25">
      <c r="B37" s="58">
        <v>11</v>
      </c>
      <c r="C37" s="59" t="s">
        <v>76</v>
      </c>
      <c r="D37" s="60">
        <f>'Rec.Data System-IN'!I26</f>
        <v>86984175</v>
      </c>
      <c r="E37" s="60">
        <f>'Rec.Data System-IN'!K26</f>
        <v>1791516</v>
      </c>
      <c r="F37" s="60">
        <f>'Rec.Data System-IN'!M26</f>
        <v>0</v>
      </c>
      <c r="G37" s="60">
        <f t="shared" si="2"/>
        <v>88775691</v>
      </c>
      <c r="H37" s="60">
        <f>'Rec.Data System-IN'!Q26</f>
        <v>88775691</v>
      </c>
      <c r="I37" s="60">
        <f t="shared" si="3"/>
        <v>0</v>
      </c>
    </row>
    <row r="38" spans="2:9" ht="15.75" x14ac:dyDescent="0.25">
      <c r="B38" s="58">
        <v>12</v>
      </c>
      <c r="C38" s="59" t="s">
        <v>77</v>
      </c>
      <c r="D38" s="60">
        <f>'Rec.Data System-IN'!I27</f>
        <v>47101210</v>
      </c>
      <c r="E38" s="60">
        <f>'Rec.Data System-IN'!K27</f>
        <v>1546342</v>
      </c>
      <c r="F38" s="60">
        <f>'Rec.Data System-IN'!M27</f>
        <v>0</v>
      </c>
      <c r="G38" s="60">
        <f t="shared" si="2"/>
        <v>48647552</v>
      </c>
      <c r="H38" s="60">
        <f>'Rec.Data System-IN'!Q27</f>
        <v>48647552</v>
      </c>
      <c r="I38" s="60">
        <f t="shared" si="3"/>
        <v>0</v>
      </c>
    </row>
    <row r="39" spans="2:9" ht="15.75" x14ac:dyDescent="0.25">
      <c r="B39" s="135"/>
      <c r="C39" s="140" t="s">
        <v>195</v>
      </c>
      <c r="D39" s="137">
        <f t="shared" ref="D39:I39" si="4">SUM(D27:D38)</f>
        <v>780454964</v>
      </c>
      <c r="E39" s="137">
        <f t="shared" si="4"/>
        <v>24396655</v>
      </c>
      <c r="F39" s="137">
        <f t="shared" si="4"/>
        <v>0</v>
      </c>
      <c r="G39" s="138">
        <f t="shared" si="4"/>
        <v>804851619</v>
      </c>
      <c r="H39" s="138">
        <f t="shared" si="4"/>
        <v>804851619</v>
      </c>
      <c r="I39" s="139">
        <f t="shared" si="4"/>
        <v>0</v>
      </c>
    </row>
  </sheetData>
  <mergeCells count="13">
    <mergeCell ref="B2:J2"/>
    <mergeCell ref="B22:I22"/>
    <mergeCell ref="J4:J5"/>
    <mergeCell ref="D4:H4"/>
    <mergeCell ref="B24:B25"/>
    <mergeCell ref="C24:C25"/>
    <mergeCell ref="D24:F24"/>
    <mergeCell ref="G24:G25"/>
    <mergeCell ref="H24:H25"/>
    <mergeCell ref="I24:I25"/>
    <mergeCell ref="B4:B5"/>
    <mergeCell ref="C4:C5"/>
    <mergeCell ref="I4:I5"/>
  </mergeCells>
  <pageMargins left="0.7" right="0.7" top="0.75" bottom="0.75" header="0.3" footer="0.3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82DF-9711-482C-84B4-751EBEA3BE14}">
  <dimension ref="B1:C36"/>
  <sheetViews>
    <sheetView showGridLines="0" topLeftCell="A2" zoomScaleNormal="100" workbookViewId="0">
      <selection activeCell="B2" sqref="B2:C36"/>
    </sheetView>
  </sheetViews>
  <sheetFormatPr defaultRowHeight="15" x14ac:dyDescent="0.25"/>
  <cols>
    <col min="1" max="1" width="3.85546875" customWidth="1"/>
    <col min="2" max="2" width="6.42578125" style="41" customWidth="1"/>
    <col min="3" max="3" width="152.28515625" customWidth="1"/>
  </cols>
  <sheetData>
    <row r="1" spans="2:3" x14ac:dyDescent="0.25">
      <c r="B1" s="97"/>
    </row>
    <row r="2" spans="2:3" ht="25.15" customHeight="1" x14ac:dyDescent="0.25">
      <c r="B2" s="215" t="s">
        <v>90</v>
      </c>
      <c r="C2" s="216"/>
    </row>
    <row r="3" spans="2:3" ht="28.5" x14ac:dyDescent="0.8">
      <c r="B3" s="217" t="s">
        <v>91</v>
      </c>
      <c r="C3" s="218"/>
    </row>
    <row r="4" spans="2:3" x14ac:dyDescent="0.25">
      <c r="B4" s="126"/>
      <c r="C4" s="127"/>
    </row>
    <row r="5" spans="2:3" x14ac:dyDescent="0.25">
      <c r="B5" s="126"/>
      <c r="C5" s="128"/>
    </row>
    <row r="6" spans="2:3" x14ac:dyDescent="0.25">
      <c r="B6" s="126"/>
      <c r="C6" s="128"/>
    </row>
    <row r="7" spans="2:3" x14ac:dyDescent="0.25">
      <c r="B7" s="126"/>
      <c r="C7" s="128"/>
    </row>
    <row r="8" spans="2:3" x14ac:dyDescent="0.25">
      <c r="B8" s="126">
        <v>1</v>
      </c>
      <c r="C8" s="128" t="s">
        <v>152</v>
      </c>
    </row>
    <row r="9" spans="2:3" x14ac:dyDescent="0.25">
      <c r="B9" s="126"/>
      <c r="C9" s="128" t="s">
        <v>194</v>
      </c>
    </row>
    <row r="10" spans="2:3" x14ac:dyDescent="0.25">
      <c r="B10" s="126"/>
      <c r="C10" s="128" t="s">
        <v>153</v>
      </c>
    </row>
    <row r="11" spans="2:3" x14ac:dyDescent="0.25">
      <c r="B11" s="126"/>
      <c r="C11" s="128" t="s">
        <v>154</v>
      </c>
    </row>
    <row r="12" spans="2:3" x14ac:dyDescent="0.25">
      <c r="B12" s="126"/>
      <c r="C12" s="128"/>
    </row>
    <row r="13" spans="2:3" x14ac:dyDescent="0.25">
      <c r="B13" s="126"/>
      <c r="C13" s="128" t="s">
        <v>875</v>
      </c>
    </row>
    <row r="14" spans="2:3" x14ac:dyDescent="0.25">
      <c r="B14" s="126"/>
      <c r="C14" s="128"/>
    </row>
    <row r="15" spans="2:3" x14ac:dyDescent="0.25">
      <c r="B15" s="126">
        <f>B8+1</f>
        <v>2</v>
      </c>
      <c r="C15" s="128" t="s">
        <v>155</v>
      </c>
    </row>
    <row r="16" spans="2:3" x14ac:dyDescent="0.25">
      <c r="B16" s="126"/>
      <c r="C16" s="128" t="s">
        <v>876</v>
      </c>
    </row>
    <row r="17" spans="2:3" x14ac:dyDescent="0.25">
      <c r="B17" s="126"/>
      <c r="C17" s="128"/>
    </row>
    <row r="18" spans="2:3" x14ac:dyDescent="0.25">
      <c r="B18" s="126">
        <f>B15+1</f>
        <v>3</v>
      </c>
      <c r="C18" s="128" t="s">
        <v>877</v>
      </c>
    </row>
    <row r="19" spans="2:3" x14ac:dyDescent="0.25">
      <c r="B19" s="126"/>
      <c r="C19" s="128" t="s">
        <v>878</v>
      </c>
    </row>
    <row r="20" spans="2:3" x14ac:dyDescent="0.25">
      <c r="B20" s="126"/>
      <c r="C20" s="128"/>
    </row>
    <row r="21" spans="2:3" x14ac:dyDescent="0.25">
      <c r="B21" s="126">
        <f>B18+1</f>
        <v>4</v>
      </c>
      <c r="C21" s="128" t="s">
        <v>92</v>
      </c>
    </row>
    <row r="22" spans="2:3" x14ac:dyDescent="0.25">
      <c r="B22" s="126"/>
      <c r="C22" s="128"/>
    </row>
    <row r="23" spans="2:3" x14ac:dyDescent="0.25">
      <c r="B23" s="126">
        <f>B21+1</f>
        <v>5</v>
      </c>
      <c r="C23" s="128" t="s">
        <v>156</v>
      </c>
    </row>
    <row r="24" spans="2:3" x14ac:dyDescent="0.25">
      <c r="B24" s="126"/>
      <c r="C24" s="128"/>
    </row>
    <row r="25" spans="2:3" x14ac:dyDescent="0.25">
      <c r="B25" s="126">
        <f>B23+1</f>
        <v>6</v>
      </c>
      <c r="C25" s="128" t="s">
        <v>879</v>
      </c>
    </row>
    <row r="26" spans="2:3" x14ac:dyDescent="0.25">
      <c r="B26" s="126"/>
      <c r="C26" s="128" t="s">
        <v>93</v>
      </c>
    </row>
    <row r="27" spans="2:3" x14ac:dyDescent="0.25">
      <c r="B27" s="126"/>
      <c r="C27" s="128"/>
    </row>
    <row r="28" spans="2:3" x14ac:dyDescent="0.25">
      <c r="B28" s="126"/>
      <c r="C28" s="128"/>
    </row>
    <row r="29" spans="2:3" x14ac:dyDescent="0.25">
      <c r="B29" s="126"/>
      <c r="C29" s="128"/>
    </row>
    <row r="30" spans="2:3" x14ac:dyDescent="0.25">
      <c r="B30" s="126"/>
      <c r="C30" s="128"/>
    </row>
    <row r="31" spans="2:3" x14ac:dyDescent="0.25">
      <c r="B31" s="126"/>
      <c r="C31" s="127"/>
    </row>
    <row r="32" spans="2:3" x14ac:dyDescent="0.25">
      <c r="B32" s="126"/>
      <c r="C32" s="128"/>
    </row>
    <row r="33" spans="2:3" x14ac:dyDescent="0.25">
      <c r="B33" s="126"/>
      <c r="C33" s="129" t="s">
        <v>94</v>
      </c>
    </row>
    <row r="34" spans="2:3" x14ac:dyDescent="0.25">
      <c r="B34" s="126"/>
      <c r="C34" s="130" t="s">
        <v>174</v>
      </c>
    </row>
    <row r="35" spans="2:3" x14ac:dyDescent="0.25">
      <c r="B35" s="126"/>
      <c r="C35" s="127"/>
    </row>
    <row r="36" spans="2:3" x14ac:dyDescent="0.25">
      <c r="B36" s="131"/>
      <c r="C36" s="132"/>
    </row>
  </sheetData>
  <mergeCells count="2">
    <mergeCell ref="B2:C2"/>
    <mergeCell ref="B3:C3"/>
  </mergeCells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Rec.Data System-IN</vt:lpstr>
      <vt:lpstr>Rec. Data System-Out</vt:lpstr>
      <vt:lpstr>Rekap T&amp;O</vt:lpstr>
      <vt:lpstr>Detail Shedules</vt:lpstr>
      <vt:lpstr>Ringkasan</vt:lpstr>
      <vt:lpstr>Anjuran &amp; Masukan</vt:lpstr>
      <vt:lpstr>'Anjuran &amp; Masukan'!Print_Area</vt:lpstr>
      <vt:lpstr>'Detail Shedules'!Print_Area</vt:lpstr>
      <vt:lpstr>'Rec. Data System-Out'!Print_Area</vt:lpstr>
      <vt:lpstr>'Rec.Data System-IN'!Print_Area</vt:lpstr>
      <vt:lpstr>'Rekap T&amp;O'!Print_Area</vt:lpstr>
      <vt:lpstr>Ringkasan!Print_Area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Hotland Febry Pasaribu</cp:lastModifiedBy>
  <cp:lastPrinted>2025-12-04T07:50:50Z</cp:lastPrinted>
  <dcterms:created xsi:type="dcterms:W3CDTF">2020-10-27T05:42:47Z</dcterms:created>
  <dcterms:modified xsi:type="dcterms:W3CDTF">2026-05-26T07:09:28Z</dcterms:modified>
</cp:coreProperties>
</file>