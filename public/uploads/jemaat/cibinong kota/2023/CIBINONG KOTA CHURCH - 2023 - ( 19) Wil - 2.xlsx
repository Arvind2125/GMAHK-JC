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c.Data System-IN" sheetId="1" state="visible" r:id="rId1"/>
    <sheet name="Rec. Data System-Out" sheetId="2" state="visible" r:id="rId2"/>
    <sheet name="Rekap T&amp;O" sheetId="3" state="visible" r:id="rId3"/>
    <sheet name="Detail Shedules" sheetId="4" state="visible" r:id="rId4"/>
    <sheet name="Ringkasan" sheetId="5" state="visible" r:id="rId5"/>
    <sheet name="Anjuran &amp; Masukan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<sst xmlns="http://schemas.openxmlformats.org/spreadsheetml/2006/main" count="217" uniqueCount="217">
  <si>
    <t xml:space="preserve">LAPORAN KEUANGAN</t>
  </si>
  <si>
    <t>ü</t>
  </si>
  <si>
    <t xml:space="preserve">GMAHK KONFERENS JAKARTA &amp; SEKITARNYA</t>
  </si>
  <si>
    <t>û</t>
  </si>
  <si>
    <t xml:space="preserve">Jl. Dr Saharjo 48 Jakarta Selatan</t>
  </si>
  <si>
    <t xml:space="preserve">Telp : 021 - 8370 6855 - 856, 829 2976, Fax 021 - 829 4278</t>
  </si>
  <si>
    <t xml:space="preserve">Nama Jemaat :</t>
  </si>
  <si>
    <t xml:space="preserve">CIBINONG KOTA</t>
  </si>
  <si>
    <t xml:space="preserve">Tahun :</t>
  </si>
  <si>
    <t>No</t>
  </si>
  <si>
    <t>Bulan</t>
  </si>
  <si>
    <t xml:space="preserve">No. Kwitansi</t>
  </si>
  <si>
    <t xml:space="preserve">CR No.</t>
  </si>
  <si>
    <t>TGL</t>
  </si>
  <si>
    <t xml:space="preserve">DANA MISSION SEDUNIA</t>
  </si>
  <si>
    <t xml:space="preserve">Transfer ke Konferens DKI</t>
  </si>
  <si>
    <t xml:space="preserve">DANA JEMAAT</t>
  </si>
  <si>
    <t>Awal</t>
  </si>
  <si>
    <t>Akhir</t>
  </si>
  <si>
    <t xml:space="preserve">Total Konferens</t>
  </si>
  <si>
    <t>Perpuluhan</t>
  </si>
  <si>
    <t xml:space="preserve">Unit X</t>
  </si>
  <si>
    <t xml:space="preserve">50% Terpadu Konfrens</t>
  </si>
  <si>
    <t xml:space="preserve">Unit PT</t>
  </si>
  <si>
    <t xml:space="preserve">Persembahan Khusus</t>
  </si>
  <si>
    <t xml:space="preserve">611100 ( Tithe )</t>
  </si>
  <si>
    <t xml:space="preserve">634110 (One Off)</t>
  </si>
  <si>
    <t>678110(Miscell)</t>
  </si>
  <si>
    <t>Total</t>
  </si>
  <si>
    <t xml:space="preserve">50% Terpadu Jemaat</t>
  </si>
  <si>
    <t xml:space="preserve">Persembahan Khusus </t>
  </si>
  <si>
    <t>Penginjilan</t>
  </si>
  <si>
    <t>Pembangunan</t>
  </si>
  <si>
    <t>Pendidikan</t>
  </si>
  <si>
    <t xml:space="preserve">Lain - Lain</t>
  </si>
  <si>
    <t xml:space="preserve">Januari </t>
  </si>
  <si>
    <t>Februari</t>
  </si>
  <si>
    <t>Maret</t>
  </si>
  <si>
    <t>2239-1</t>
  </si>
  <si>
    <t>April</t>
  </si>
  <si>
    <t>Mei</t>
  </si>
  <si>
    <t>Juni</t>
  </si>
  <si>
    <t xml:space="preserve">Juli </t>
  </si>
  <si>
    <t>Agustus</t>
  </si>
  <si>
    <t>September</t>
  </si>
  <si>
    <t>Oktober</t>
  </si>
  <si>
    <t>November</t>
  </si>
  <si>
    <t>Desember</t>
  </si>
  <si>
    <t xml:space="preserve">Jumlah Perpuluhan / Persembahan</t>
  </si>
  <si>
    <t xml:space="preserve">Unit Pemberi</t>
  </si>
  <si>
    <t xml:space="preserve">Gembala </t>
  </si>
  <si>
    <t xml:space="preserve">Pdt.Lindon J. Situmorang</t>
  </si>
  <si>
    <t xml:space="preserve">Bendahara </t>
  </si>
  <si>
    <t xml:space="preserve">Lessie Manurung</t>
  </si>
  <si>
    <t xml:space="preserve">Wilayah    </t>
  </si>
  <si>
    <t>II</t>
  </si>
  <si>
    <t xml:space="preserve">No HP/TLP</t>
  </si>
  <si>
    <t xml:space="preserve">0813 7034 0340</t>
  </si>
  <si>
    <r>
      <t xml:space="preserve">OPERATING </t>
    </r>
    <r>
      <rPr>
        <b/>
        <sz val="15"/>
        <color rgb="FFFAF3E8"/>
        <rFont val="Oswald"/>
      </rPr>
      <t xml:space="preserve">INCOME AND OPERATING EXPENSE</t>
    </r>
  </si>
  <si>
    <t>ITEMS</t>
  </si>
  <si>
    <t xml:space="preserve">TOTAL EXPENSE</t>
  </si>
  <si>
    <t xml:space="preserve">Dana - Operasional</t>
  </si>
  <si>
    <t xml:space="preserve">Dana - Penginjilan</t>
  </si>
  <si>
    <t xml:space="preserve">Dana - Pembangunan</t>
  </si>
  <si>
    <t xml:space="preserve">Dana - Pendidikan</t>
  </si>
  <si>
    <t xml:space="preserve">Dana - Lain-lain</t>
  </si>
  <si>
    <t>PERIOD:</t>
  </si>
  <si>
    <t>FROM</t>
  </si>
  <si>
    <t>TO</t>
  </si>
  <si>
    <t xml:space="preserve">OPERATING INCOME AND OPERATING EXPENSE</t>
  </si>
  <si>
    <t>JANUARY</t>
  </si>
  <si>
    <t xml:space="preserve">Operating Income :</t>
  </si>
  <si>
    <t xml:space="preserve">Ketua Jemaat</t>
  </si>
  <si>
    <t xml:space="preserve">Sekertaris Jemaat</t>
  </si>
  <si>
    <t xml:space="preserve">Dana Jemaat</t>
  </si>
  <si>
    <t xml:space="preserve">Saldo Awal</t>
  </si>
  <si>
    <t xml:space="preserve">Penerimaan </t>
  </si>
  <si>
    <t xml:space="preserve">Bendahara Jemaat</t>
  </si>
  <si>
    <t xml:space="preserve">Depart Sekolah Sabat </t>
  </si>
  <si>
    <t>Terpadu</t>
  </si>
  <si>
    <t xml:space="preserve">Depart  Pel. Perorangan</t>
  </si>
  <si>
    <t xml:space="preserve">Khusus Jemaat 100%</t>
  </si>
  <si>
    <t xml:space="preserve">Departement Anak Anak</t>
  </si>
  <si>
    <t xml:space="preserve">Dana Operasional</t>
  </si>
  <si>
    <t xml:space="preserve">Departement BWA &amp; Shepherdes</t>
  </si>
  <si>
    <t xml:space="preserve">Departement Penatalayanan</t>
  </si>
  <si>
    <t xml:space="preserve">Departement Dorkas</t>
  </si>
  <si>
    <t xml:space="preserve">Departement Pemuda ( PA )</t>
  </si>
  <si>
    <t>Pathfinder</t>
  </si>
  <si>
    <t xml:space="preserve">Departement Pendidikan</t>
  </si>
  <si>
    <t xml:space="preserve">Total Operating Income</t>
  </si>
  <si>
    <t xml:space="preserve">Departement Rumah Tangga</t>
  </si>
  <si>
    <t xml:space="preserve">Departement Komunikasi</t>
  </si>
  <si>
    <t xml:space="preserve">Operating Expense : </t>
  </si>
  <si>
    <t xml:space="preserve">Departement Kesehatan</t>
  </si>
  <si>
    <t xml:space="preserve">Departement NDR/Pel. Masarakat</t>
  </si>
  <si>
    <t>Keterangan</t>
  </si>
  <si>
    <t xml:space="preserve">No Transaksi</t>
  </si>
  <si>
    <t>Departemen</t>
  </si>
  <si>
    <t xml:space="preserve">Diakon </t>
  </si>
  <si>
    <t xml:space="preserve">Sumber Kas</t>
  </si>
  <si>
    <t>Diakones</t>
  </si>
  <si>
    <t xml:space="preserve">Perlawatan, Pel. Sosial &amp; Charity</t>
  </si>
  <si>
    <t>Operational</t>
  </si>
  <si>
    <t xml:space="preserve">Buku SS Dewasa </t>
  </si>
  <si>
    <t xml:space="preserve">KPA (Kel. Kecil) &amp; Pemeliharaan</t>
  </si>
  <si>
    <t xml:space="preserve">Pengeluaran Dana Operasional</t>
  </si>
  <si>
    <t xml:space="preserve">Penataran / Seminar</t>
  </si>
  <si>
    <t xml:space="preserve">Legal &amp; Pajak</t>
  </si>
  <si>
    <t xml:space="preserve">Listrik ( Token )</t>
  </si>
  <si>
    <t xml:space="preserve">Air Minum &amp; PDAM</t>
  </si>
  <si>
    <t xml:space="preserve">Telepon &amp; Internet ( Zoom Paket )</t>
  </si>
  <si>
    <t xml:space="preserve">Pengeluaran Dana Penginjilan</t>
  </si>
  <si>
    <t xml:space="preserve">Jaga Malam &amp; Parkir</t>
  </si>
  <si>
    <t xml:space="preserve">Ucapan Syukur dan Hari lahir</t>
  </si>
  <si>
    <t xml:space="preserve">Duka Cita / Krans Bunga</t>
  </si>
  <si>
    <t xml:space="preserve">Pengeluaran Dana Pembangunan</t>
  </si>
  <si>
    <t xml:space="preserve">Pengeluaran Dana Pendidikan</t>
  </si>
  <si>
    <t xml:space="preserve">Dana Lain-Lain</t>
  </si>
  <si>
    <t xml:space="preserve">Transportasi / Travel Gembala</t>
  </si>
  <si>
    <t xml:space="preserve">Transportasi / Travel </t>
  </si>
  <si>
    <t xml:space="preserve">Pengeluaran Dana Lain Lain</t>
  </si>
  <si>
    <t xml:space="preserve">Total Operating Expense</t>
  </si>
  <si>
    <t xml:space="preserve">Total Net Operating Gain/Loss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</si>
  <si>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</si>
  <si>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</si>
  <si>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</si>
  <si>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</si>
  <si>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</si>
  <si>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</si>
  <si>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</si>
  <si>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</si>
  <si>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</si>
  <si>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</si>
  <si>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</si>
  <si>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REKAPITULASI KEUANGAN GEREJA - GEREJA</t>
  </si>
  <si>
    <t xml:space="preserve">GMAHK KONFERENS JAKARTA DAN SEKITARNYA</t>
  </si>
  <si>
    <t xml:space="preserve">TAHUN 2023</t>
  </si>
  <si>
    <t xml:space="preserve">X / T</t>
  </si>
  <si>
    <t xml:space="preserve">X (Perpul)</t>
  </si>
  <si>
    <t xml:space="preserve">Terpadu Konf</t>
  </si>
  <si>
    <t xml:space="preserve">Khusus Konf</t>
  </si>
  <si>
    <t xml:space="preserve">Terpadu Jemaat</t>
  </si>
  <si>
    <t xml:space="preserve">Khusus Jemaat</t>
  </si>
  <si>
    <t>s/d</t>
  </si>
  <si>
    <t>TOTAL</t>
  </si>
  <si>
    <t>Gereja</t>
  </si>
  <si>
    <t>Gembala</t>
  </si>
  <si>
    <t>Bendahara</t>
  </si>
  <si>
    <t>Wilayah</t>
  </si>
  <si>
    <t xml:space="preserve">DETAIL SHEDULES</t>
  </si>
  <si>
    <t xml:space="preserve">Comparison of Budget VS Tithe &amp; Offering</t>
  </si>
  <si>
    <t xml:space="preserve">Actual 2023</t>
  </si>
  <si>
    <t xml:space="preserve">Budget 2023</t>
  </si>
  <si>
    <t>In(De)crease</t>
  </si>
  <si>
    <t>Percentage</t>
  </si>
  <si>
    <t>Tithe</t>
  </si>
  <si>
    <t xml:space="preserve">Terpadu 50%</t>
  </si>
  <si>
    <t xml:space="preserve">Total Budget vs Tithe &amp; Offering</t>
  </si>
  <si>
    <t xml:space="preserve">Increment Tithe &amp; Offering :</t>
  </si>
  <si>
    <t xml:space="preserve">Khusus Konferens</t>
  </si>
  <si>
    <t xml:space="preserve">Total Increment Tithe &amp; Offering</t>
  </si>
  <si>
    <t xml:space="preserve">Increment Giving Unit :</t>
  </si>
  <si>
    <t xml:space="preserve">Total Increment Giving unit</t>
  </si>
  <si>
    <t xml:space="preserve">Perbandingan Penerimaan Dana Jemaat:</t>
  </si>
  <si>
    <t xml:space="preserve">Dana Penginjilan</t>
  </si>
  <si>
    <t xml:space="preserve">Dana Pembangunan</t>
  </si>
  <si>
    <t xml:space="preserve">Dana Pendidikan</t>
  </si>
  <si>
    <t xml:space="preserve">Dana Lain Lain</t>
  </si>
  <si>
    <t xml:space="preserve">Penerimaan Dana Jemaat</t>
  </si>
  <si>
    <t xml:space="preserve">Perbandingan Pengeluaran Dana Jemaat :</t>
  </si>
  <si>
    <t xml:space="preserve">Pengeluaran Dana Jemaat</t>
  </si>
  <si>
    <t xml:space="preserve">Balance </t>
  </si>
  <si>
    <t>Balance</t>
  </si>
  <si>
    <t xml:space="preserve">Trust Funds :</t>
  </si>
  <si>
    <t xml:space="preserve">Jan 1, 2023</t>
  </si>
  <si>
    <t>Received</t>
  </si>
  <si>
    <t>Remitted</t>
  </si>
  <si>
    <t xml:space="preserve">Dec 31, 2023</t>
  </si>
  <si>
    <t xml:space="preserve">Terpadu 50% &amp; Khusus Konferens</t>
  </si>
  <si>
    <t xml:space="preserve">Total Trust Funds</t>
  </si>
  <si>
    <t xml:space="preserve">LAPORAN KAS JEMAAT 2023</t>
  </si>
  <si>
    <t>Pengeluaran</t>
  </si>
  <si>
    <t xml:space="preserve">Saldo Akhir</t>
  </si>
  <si>
    <t xml:space="preserve">Dana Lain - Lain</t>
  </si>
  <si>
    <t>Januari</t>
  </si>
  <si>
    <t xml:space="preserve">April </t>
  </si>
  <si>
    <t>June</t>
  </si>
  <si>
    <t xml:space="preserve">TOTAL Dana Jemaat</t>
  </si>
  <si>
    <t xml:space="preserve">LAPORAN DANA KONFERENS 2023</t>
  </si>
  <si>
    <t xml:space="preserve">Dana Konferens</t>
  </si>
  <si>
    <t xml:space="preserve">Total Dana</t>
  </si>
  <si>
    <t xml:space="preserve">Transfer ke Konf</t>
  </si>
  <si>
    <t xml:space="preserve">Terpadu ( 50%  )</t>
  </si>
  <si>
    <t xml:space="preserve">Dana Khusus Konf</t>
  </si>
  <si>
    <t xml:space="preserve">TOTAL Dana Konfrens</t>
  </si>
  <si>
    <t xml:space="preserve">AUDIT REPORT</t>
  </si>
  <si>
    <t xml:space="preserve">Anjuran dan Masukan untuk dapat di Jalankan Bendahara Jemaat</t>
  </si>
  <si>
    <t xml:space="preserve">Kami Ucapkan Trimakasih kepada Bendahara Jemaat atas mengirimkan / Transfer ke Konferens sesuai dengan Laporan Keuangan Jemaat (Balance)</t>
  </si>
  <si>
    <t xml:space="preserve">Perpuluhan                    Rp.  0</t>
  </si>
  <si>
    <t xml:space="preserve">Persembahan Terpadu  Rp.  0</t>
  </si>
  <si>
    <t xml:space="preserve">Khusus Konferens         Rp.  0</t>
  </si>
  <si>
    <t xml:space="preserve">Agar diperhatikan Hasil dari Persepuluhan dan Persembahan Terpadu tahun 2023 di bandingkan tahun 2022 yaitu : - 7,92 %</t>
  </si>
  <si>
    <t xml:space="preserve">Kami Ucapkan Trimakasih adanya Peningkatan Persentasi Persepuluhan dan Persembahan Terpadu tahun 2023 bandingkan tahun 2022 yaitu : 9,40 %</t>
  </si>
  <si>
    <t xml:space="preserve">Kami Ucapkan Trimakasih atas Laporan Pengeluaran Jemaat komplit di ikutsertakan dalam Pengiriman Laporan Keuangan Jemaat.</t>
  </si>
  <si>
    <r>
      <t xml:space="preserve">Saldo Akhir Desember 2023, Laporan Kas Jemaat </t>
    </r>
    <r>
      <rPr>
        <b/>
        <sz val="11"/>
        <color theme="1"/>
        <rFont val="Bahnschrift SemiLight"/>
      </rPr>
      <t xml:space="preserve">Rp. 156 219 575,-</t>
    </r>
  </si>
  <si>
    <t xml:space="preserve">Kami Meminta agar Pdt Jemaat dan Bendahara JEMAAT  TOMOU TOU BEKASI Untuk memeriksa / Checking Laporan Kas jemaat Desember 2023</t>
  </si>
  <si>
    <t xml:space="preserve">Sejumlah Rp. 66 763 360 sama dengan Dana yang di simpan di Bank milik JEMAAT  TUMOU TOU BEKASI</t>
  </si>
  <si>
    <t xml:space="preserve">Dianjurkan kepada Anggota Jemaat untuk melaksanakan Persembahan Terpadu Untuk membantu Operasional  Jemaat.</t>
  </si>
  <si>
    <t xml:space="preserve">Agar Supaya memperhatikan Balance Anggaran Keuangan Jemaat. Untuk dana Jemaat yang telah ada Pos / Bagian nya  tidak Minus</t>
  </si>
  <si>
    <t xml:space="preserve">Kami Ucapkan Trimakasih untuk Bendahara Jemaat sudah menggunakan WEB- System www.jlctreasury.com dalam membuat Laporan Keuangan Jemaat.</t>
  </si>
  <si>
    <t xml:space="preserve">Dianjurkan kepada Jemaat untuk membuat Daftar Inventaris Jemaat ( Gereja ) lengkap, Seperti : Tanah. Bangunan Beserta Isi,</t>
  </si>
  <si>
    <t xml:space="preserve">Tahun Pembelian barang-barang, Harga barang saat di beli.</t>
  </si>
  <si>
    <t xml:space="preserve">Kami Anjurkan Supaya Bendahara Jemaat mengirimkan ( Transfer ) uang dan Laporan Keuangan seperti yang di tetapkan :</t>
  </si>
  <si>
    <t xml:space="preserve">Konferens DKI Jakarta tanggal 10 pada Bulan Berikutnya sampai di kantor Konferens. Kecuali Desember, Transfer Paling lambat Tanggal 31</t>
  </si>
  <si>
    <t xml:space="preserve">Hotland F Pasaribu, Church Auditor</t>
  </si>
  <si>
    <t xml:space="preserve">GMAHK Konferens Jakarta &amp; Sekitarnya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</si>
</sst>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-* #,##0_-;\-* #,##0_-;_-* &quot;-&quot;_-;_-@_-"/>
    <numFmt numFmtId="165" formatCode="[$-409]d\-mmm\-yy;@"/>
    <numFmt numFmtId="166" formatCode="@\ * &quot;:&quot;"/>
    <numFmt numFmtId="167" formatCode="_(&quot;$&quot;* #,##0.00_);_(&quot;$&quot;* \(#,##0.00\);_(&quot;$&quot;* &quot;-&quot;??_);_(@_)"/>
    <numFmt numFmtId="168" formatCode="_([$IDR]\ * #,##0.00_);_([$IDR]\ * \(#,##0.00\);_([$IDR]\ * &quot;-&quot;??_);_(@_)"/>
    <numFmt numFmtId="169" formatCode="_([$IDR]\ * #,##0_);_([$IDR]\ * \(#,##0\);_([$IDR]\ * &quot;-&quot;_);_(@_)"/>
    <numFmt numFmtId="170" formatCode="d&quot;-&quot;mmm&quot;-&quot;yyyy"/>
    <numFmt numFmtId="171" formatCode="_-* #,##0.00_-;\-* #,##0.00_-;_-* &quot;-&quot;_-;_-@_-"/>
  </numFmts>
  <fonts count="38">
    <font>
      <sz val="11.000000"/>
      <color theme="1"/>
      <name val="Calibri"/>
      <scheme val="minor"/>
    </font>
    <font>
      <sz val="11.000000"/>
      <color theme="1"/>
      <name val="Arial"/>
    </font>
    <font>
      <b/>
      <sz val="16.000000"/>
      <color theme="0"/>
      <name val="Poppins"/>
    </font>
    <font>
      <sz val="14.000000"/>
      <color theme="1"/>
      <name val="Wingdings"/>
    </font>
    <font>
      <b/>
      <sz val="14.000000"/>
      <color theme="1"/>
      <name val="Arial"/>
    </font>
    <font>
      <b/>
      <u/>
      <sz val="14.000000"/>
      <color theme="1"/>
      <name val="Arial"/>
    </font>
    <font>
      <b/>
      <sz val="11.000000"/>
      <color theme="1"/>
      <name val="Arial"/>
    </font>
    <font>
      <sz val="12.000000"/>
      <color theme="1"/>
      <name val="Arial"/>
    </font>
    <font>
      <sz val="8.000000"/>
      <color theme="1"/>
      <name val="Arial"/>
    </font>
    <font>
      <sz val="9.000000"/>
      <color theme="1"/>
      <name val="Arial"/>
    </font>
    <font>
      <b/>
      <sz val="9.000000"/>
      <color theme="1"/>
      <name val="Arial"/>
    </font>
    <font>
      <b/>
      <sz val="26.000000"/>
      <color rgb="FFFAF3E8"/>
      <name val="Oswald"/>
    </font>
    <font>
      <sz val="11.000000"/>
      <color theme="1"/>
      <name val="Poppins"/>
    </font>
    <font>
      <b/>
      <sz val="11.000000"/>
      <color rgb="FFFAF3E8"/>
      <name val="Poppins"/>
    </font>
    <font>
      <b/>
      <sz val="11.000000"/>
      <color theme="1"/>
      <name val="Century Gothic"/>
    </font>
    <font>
      <b/>
      <sz val="11.000000"/>
      <color rgb="FF503C1E"/>
      <name val="Poppins"/>
    </font>
    <font>
      <b/>
      <sz val="20.000000"/>
      <color rgb="FF134F5C"/>
      <name val="Poppins"/>
    </font>
    <font>
      <b/>
      <sz val="24.000000"/>
      <color rgb="FF503C1E"/>
      <name val="Poppins"/>
    </font>
    <font>
      <sz val="11.000000"/>
      <color rgb="FF503C1E"/>
      <name val="Poppins"/>
    </font>
    <font>
      <b/>
      <sz val="11.000000"/>
      <color theme="1"/>
      <name val="Poppins"/>
    </font>
    <font>
      <b/>
      <sz val="16.000000"/>
      <color rgb="FFFAF3E8"/>
      <name val="Poppins"/>
    </font>
    <font>
      <b/>
      <u/>
      <sz val="11.000000"/>
      <color rgb="FF503C1E"/>
      <name val="Poppins"/>
    </font>
    <font>
      <u/>
      <sz val="11.000000"/>
      <color theme="1"/>
      <name val="Arial"/>
    </font>
    <font>
      <u val="singleAccounting"/>
      <sz val="11.000000"/>
      <color theme="1"/>
      <name val="Arial"/>
    </font>
    <font>
      <i/>
      <sz val="11.000000"/>
      <color theme="1"/>
      <name val="Arial"/>
    </font>
    <font>
      <b/>
      <sz val="11.000000"/>
      <color theme="0"/>
      <name val="Arial"/>
    </font>
    <font>
      <b/>
      <sz val="14.000000"/>
      <color theme="0"/>
      <name val="Poppins"/>
    </font>
    <font>
      <sz val="12.000000"/>
      <color theme="1"/>
      <name val="Calibri"/>
      <scheme val="minor"/>
    </font>
    <font>
      <b/>
      <sz val="12.000000"/>
      <name val="Calibri"/>
      <scheme val="minor"/>
    </font>
    <font>
      <b/>
      <sz val="11.000000"/>
      <color theme="1"/>
      <name val="Calibri"/>
      <scheme val="minor"/>
    </font>
    <font>
      <b/>
      <u/>
      <sz val="11.000000"/>
      <color theme="1"/>
      <name val="Calibri"/>
      <scheme val="minor"/>
    </font>
    <font>
      <b/>
      <sz val="11.000000"/>
      <color theme="0"/>
      <name val="Poppins"/>
    </font>
    <font>
      <sz val="12.000000"/>
      <color indexed="64"/>
      <name val="Calibri"/>
    </font>
    <font>
      <b/>
      <sz val="12.000000"/>
      <color indexed="64"/>
      <name val="Calibri"/>
    </font>
    <font>
      <b/>
      <sz val="12.000000"/>
      <color theme="1"/>
      <name val="Calibri"/>
      <scheme val="minor"/>
    </font>
    <font>
      <u/>
      <sz val="11.000000"/>
      <color theme="1"/>
      <name val="Calibri"/>
      <scheme val="minor"/>
    </font>
    <font>
      <b/>
      <sz val="14.000000"/>
      <color theme="1"/>
      <name val="Poppins"/>
    </font>
    <font>
      <sz val="11.000000"/>
      <color theme="1"/>
      <name val="Bahnschrift SemiLight"/>
    </font>
  </fonts>
  <fills count="12">
    <fill>
      <patternFill patternType="none"/>
    </fill>
    <fill>
      <patternFill patternType="gray125"/>
    </fill>
    <fill>
      <patternFill patternType="solid">
        <fgColor rgb="FF503C1E"/>
      </patternFill>
    </fill>
    <fill>
      <patternFill patternType="solid">
        <fgColor rgb="FFDED4C3"/>
      </patternFill>
    </fill>
    <fill>
      <patternFill patternType="solid">
        <fgColor rgb="FFFAF3E8"/>
      </patternFill>
    </fill>
    <fill>
      <patternFill patternType="solid">
        <fgColor theme="0" tint="-0.049989318521683403"/>
      </patternFill>
    </fill>
    <fill>
      <patternFill patternType="solid">
        <fgColor indexed="5"/>
      </patternFill>
    </fill>
    <fill>
      <patternFill patternType="solid">
        <fgColor rgb="FF503C1E"/>
        <bgColor rgb="FF503C1E"/>
      </patternFill>
    </fill>
    <fill>
      <patternFill patternType="solid">
        <fgColor rgb="FFA88C60"/>
        <bgColor rgb="FFA88C60"/>
      </patternFill>
    </fill>
    <fill>
      <patternFill patternType="solid">
        <fgColor rgb="FFF3F3F3"/>
        <bgColor rgb="FFF3F3F3"/>
      </patternFill>
    </fill>
    <fill>
      <patternFill patternType="solid">
        <fgColor rgb="FFFAF3E8"/>
        <bgColor rgb="FFFAF3E8"/>
      </patternFill>
    </fill>
    <fill>
      <patternFill patternType="solid">
        <fgColor rgb="FFDED4C3"/>
        <bgColor rgb="FFDED4C3"/>
      </patternFill>
    </fill>
  </fills>
  <borders count="6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none"/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 style="none"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 style="none"/>
    </border>
    <border>
      <left style="thin">
        <color theme="0" tint="-0.14996795556505021"/>
      </left>
      <right style="thin">
        <color theme="0" tint="-0.14996795556505021"/>
      </right>
      <top style="none"/>
      <bottom style="medium">
        <color auto="1"/>
      </bottom>
      <diagonal style="none"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medium">
        <color auto="1"/>
      </bottom>
      <diagonal style="none"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auto="1"/>
      </bottom>
      <diagonal style="none"/>
    </border>
    <border>
      <left style="none"/>
      <right style="none"/>
      <top style="thin">
        <color theme="0" tint="-0.14996795556505021"/>
      </top>
      <bottom style="medium">
        <color auto="1"/>
      </bottom>
      <diagonal style="none"/>
    </border>
    <border>
      <left style="thin">
        <color theme="0" tint="-0.14996795556505021"/>
      </left>
      <right style="none"/>
      <top style="thin">
        <color theme="0" tint="-0.14996795556505021"/>
      </top>
      <bottom style="medium">
        <color auto="1"/>
      </bottom>
      <diagonal style="none"/>
    </border>
    <border>
      <left style="none"/>
      <right style="none"/>
      <top style="none"/>
      <bottom style="medium">
        <color theme="0"/>
      </bottom>
      <diagonal style="none"/>
    </border>
    <border>
      <left style="none"/>
      <right style="thick">
        <color indexed="65"/>
      </right>
      <top style="none"/>
      <bottom style="none"/>
      <diagonal style="none"/>
    </border>
    <border>
      <left style="medium">
        <color indexed="65"/>
      </left>
      <right style="none"/>
      <top style="none"/>
      <bottom style="medium">
        <color indexed="65"/>
      </bottom>
      <diagonal style="none"/>
    </border>
    <border>
      <left style="none"/>
      <right style="none"/>
      <top style="none"/>
      <bottom style="medium">
        <color indexed="65"/>
      </bottom>
      <diagonal style="none"/>
    </border>
    <border>
      <left style="none"/>
      <right style="none"/>
      <top style="medium">
        <color indexed="65"/>
      </top>
      <bottom style="none"/>
      <diagonal style="none"/>
    </border>
    <border>
      <left style="none"/>
      <right style="medium">
        <color indexed="65"/>
      </right>
      <top style="medium">
        <color indexed="65"/>
      </top>
      <bottom style="none"/>
      <diagonal style="none"/>
    </border>
    <border>
      <left style="none"/>
      <right style="medium">
        <color indexed="65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double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 style="none"/>
    </border>
    <border>
      <left style="none"/>
      <right style="thin">
        <color theme="0" tint="-0.14996795556505021"/>
      </right>
      <top style="thin">
        <color auto="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 style="none"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none"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none"/>
      <diagonal style="none"/>
    </border>
    <border>
      <left style="none"/>
      <right style="thin">
        <color theme="0" tint="-0.14996795556505021"/>
      </right>
      <top style="thin">
        <color theme="0" tint="-0.14996795556505021"/>
      </top>
      <bottom style="none"/>
      <diagonal style="none"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0" tint="-0.14996795556505021"/>
      </right>
      <top style="thin">
        <color auto="1"/>
      </top>
      <bottom style="thin">
        <color auto="1"/>
      </bottom>
      <diagonal style="none"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auto="1"/>
      </bottom>
      <diagonal style="none"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9" applyNumberFormat="1" applyFont="0" applyFill="0" applyBorder="0" applyProtection="0"/>
  </cellStyleXfs>
  <cellXfs count="209">
    <xf fontId="0" fillId="0" borderId="0" numFmtId="0" xfId="0"/>
    <xf fontId="1" fillId="0" borderId="0" numFmtId="0" xfId="0" applyFont="1" applyAlignment="1">
      <alignment vertical="center"/>
    </xf>
    <xf fontId="1" fillId="0" borderId="0" numFmtId="0" xfId="0" applyFont="1" applyAlignment="1">
      <alignment horizontal="center" vertical="center"/>
    </xf>
    <xf fontId="2" fillId="2" borderId="0" numFmtId="0" xfId="0" applyFont="1" applyFill="1" applyAlignment="1">
      <alignment horizontal="center" vertical="center"/>
    </xf>
    <xf fontId="3" fillId="0" borderId="0" numFmtId="0" xfId="0" applyFont="1" applyAlignment="1">
      <alignment vertical="center"/>
    </xf>
    <xf fontId="4" fillId="3" borderId="0" numFmtId="0" xfId="0" applyFont="1" applyFill="1" applyAlignment="1">
      <alignment horizontal="center" vertical="center"/>
    </xf>
    <xf fontId="1" fillId="4" borderId="0" numFmtId="0" xfId="0" applyFont="1" applyFill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vertical="center"/>
    </xf>
    <xf fontId="1" fillId="0" borderId="0" numFmtId="0" xfId="0" applyFont="1" applyAlignment="1">
      <alignment horizontal="left" vertical="center"/>
    </xf>
    <xf fontId="5" fillId="0" borderId="0" numFmtId="0" xfId="0" applyFont="1" applyAlignment="1">
      <alignment vertical="center"/>
    </xf>
    <xf fontId="6" fillId="0" borderId="0" numFmtId="0" xfId="0" applyFont="1" applyAlignment="1">
      <alignment horizontal="right" vertical="center"/>
    </xf>
    <xf fontId="4" fillId="0" borderId="0" numFmtId="0" xfId="0" applyFont="1" applyAlignment="1">
      <alignment vertical="center"/>
    </xf>
    <xf fontId="4" fillId="0" borderId="0" numFmtId="165" xfId="0" applyNumberFormat="1" applyFont="1" applyAlignment="1">
      <alignment vertical="center"/>
    </xf>
    <xf fontId="6" fillId="0" borderId="0" numFmtId="165" xfId="0" applyNumberFormat="1" applyFont="1" applyAlignment="1">
      <alignment vertical="center"/>
    </xf>
    <xf fontId="1" fillId="3" borderId="2" numFmtId="0" xfId="0" applyFont="1" applyFill="1" applyBorder="1" applyAlignment="1">
      <alignment horizontal="center" vertical="center" wrapText="1"/>
    </xf>
    <xf fontId="6" fillId="3" borderId="3" numFmtId="0" xfId="0" applyFont="1" applyFill="1" applyBorder="1" applyAlignment="1">
      <alignment horizontal="center" vertical="center" wrapText="1"/>
    </xf>
    <xf fontId="6" fillId="3" borderId="4" numFmtId="0" xfId="0" applyFont="1" applyFill="1" applyBorder="1" applyAlignment="1">
      <alignment horizontal="center" vertical="center" wrapText="1"/>
    </xf>
    <xf fontId="6" fillId="3" borderId="5" numFmtId="0" xfId="0" applyFont="1" applyFill="1" applyBorder="1" applyAlignment="1">
      <alignment horizontal="center" vertical="center" wrapText="1"/>
    </xf>
    <xf fontId="1" fillId="3" borderId="6" numFmtId="0" xfId="0" applyFont="1" applyFill="1" applyBorder="1" applyAlignment="1">
      <alignment horizontal="center" vertical="center" wrapText="1"/>
    </xf>
    <xf fontId="1" fillId="3" borderId="3" numFmtId="0" xfId="0" applyFont="1" applyFill="1" applyBorder="1" applyAlignment="1">
      <alignment horizontal="center" vertical="center" wrapText="1"/>
    </xf>
    <xf fontId="6" fillId="3" borderId="2" numFmtId="0" xfId="0" applyFont="1" applyFill="1" applyBorder="1" applyAlignment="1">
      <alignment horizontal="center" vertical="center"/>
    </xf>
    <xf fontId="6" fillId="3" borderId="3" numFmtId="0" xfId="0" applyFont="1" applyFill="1" applyBorder="1" applyAlignment="1">
      <alignment horizontal="center" vertical="center"/>
    </xf>
    <xf fontId="6" fillId="3" borderId="7" numFmtId="0" xfId="0" applyFont="1" applyFill="1" applyBorder="1" applyAlignment="1">
      <alignment horizontal="center" vertical="center"/>
    </xf>
    <xf fontId="6" fillId="3" borderId="8" numFmtId="0" xfId="0" applyFont="1" applyFill="1" applyBorder="1" applyAlignment="1">
      <alignment horizontal="center" vertical="center"/>
    </xf>
    <xf fontId="6" fillId="3" borderId="7" numFmtId="0" xfId="0" applyFont="1" applyFill="1" applyBorder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1" fillId="3" borderId="9" numFmtId="0" xfId="0" applyFont="1" applyFill="1" applyBorder="1" applyAlignment="1">
      <alignment horizontal="center" vertical="center" wrapText="1"/>
    </xf>
    <xf fontId="6" fillId="3" borderId="10" numFmtId="0" xfId="0" applyFont="1" applyFill="1" applyBorder="1" applyAlignment="1">
      <alignment horizontal="center" vertical="center" wrapText="1"/>
    </xf>
    <xf fontId="1" fillId="3" borderId="11" numFmtId="0" xfId="0" applyFont="1" applyFill="1" applyBorder="1" applyAlignment="1">
      <alignment horizontal="center" vertical="center" wrapText="1"/>
    </xf>
    <xf fontId="1" fillId="3" borderId="10" numFmtId="0" xfId="0" applyFont="1" applyFill="1" applyBorder="1" applyAlignment="1">
      <alignment horizontal="center" vertical="center" wrapText="1"/>
    </xf>
    <xf fontId="1" fillId="3" borderId="12" numFmtId="0" xfId="0" applyFont="1" applyFill="1" applyBorder="1" applyAlignment="1">
      <alignment horizontal="center" vertical="center" wrapText="1"/>
    </xf>
    <xf fontId="1" fillId="3" borderId="13" numFmtId="0" xfId="0" applyFont="1" applyFill="1" applyBorder="1" applyAlignment="1">
      <alignment horizontal="center" vertical="center" wrapText="1"/>
    </xf>
    <xf fontId="1" fillId="3" borderId="14" numFmtId="0" xfId="0" applyFont="1" applyFill="1" applyBorder="1" applyAlignment="1">
      <alignment horizontal="center" vertical="center" wrapText="1"/>
    </xf>
    <xf fontId="1" fillId="3" borderId="15" numFmtId="0" xfId="0" applyFont="1" applyFill="1" applyBorder="1" applyAlignment="1">
      <alignment horizontal="center" vertical="center" wrapText="1"/>
    </xf>
    <xf fontId="1" fillId="5" borderId="16" numFmtId="0" xfId="0" applyFont="1" applyFill="1" applyBorder="1" applyAlignment="1">
      <alignment horizontal="center" vertical="center" wrapText="1"/>
    </xf>
    <xf fontId="1" fillId="5" borderId="0" numFmtId="0" xfId="0" applyFont="1" applyFill="1" applyAlignment="1">
      <alignment horizontal="left" vertical="center" wrapText="1"/>
    </xf>
    <xf fontId="1" fillId="5" borderId="0" numFmtId="0" xfId="0" applyFont="1" applyFill="1" applyAlignment="1">
      <alignment horizontal="center" vertical="center" wrapText="1"/>
    </xf>
    <xf fontId="1" fillId="5" borderId="17" numFmtId="0" xfId="0" applyFont="1" applyFill="1" applyBorder="1" applyAlignment="1">
      <alignment horizontal="center" vertical="center" wrapText="1"/>
    </xf>
    <xf fontId="1" fillId="0" borderId="18" numFmtId="0" xfId="0" applyFont="1" applyBorder="1" applyAlignment="1">
      <alignment horizontal="center" vertical="center"/>
    </xf>
    <xf fontId="7" fillId="0" borderId="19" numFmtId="0" xfId="0" applyFont="1" applyBorder="1" applyAlignment="1">
      <alignment vertical="center"/>
    </xf>
    <xf fontId="1" fillId="0" borderId="19" numFmtId="0" xfId="0" applyFont="1" applyBorder="1" applyAlignment="1">
      <alignment horizontal="center" vertical="center"/>
    </xf>
    <xf fontId="1" fillId="0" borderId="19" numFmtId="15" xfId="0" applyNumberFormat="1" applyFont="1" applyBorder="1" applyAlignment="1">
      <alignment horizontal="left" vertical="center"/>
    </xf>
    <xf fontId="1" fillId="0" borderId="18" numFmtId="164" xfId="1" applyNumberFormat="1" applyFont="1" applyBorder="1" applyAlignment="1">
      <alignment vertical="center"/>
    </xf>
    <xf fontId="1" fillId="0" borderId="19" numFmtId="164" xfId="1" applyNumberFormat="1" applyFont="1" applyBorder="1" applyAlignment="1">
      <alignment vertical="center"/>
    </xf>
    <xf fontId="1" fillId="0" borderId="20" numFmtId="164" xfId="1" applyNumberFormat="1" applyFont="1" applyBorder="1" applyAlignment="1">
      <alignment vertical="center"/>
    </xf>
    <xf fontId="1" fillId="0" borderId="21" numFmtId="164" xfId="1" applyNumberFormat="1" applyFont="1" applyBorder="1" applyAlignment="1">
      <alignment vertical="center"/>
    </xf>
    <xf fontId="1" fillId="0" borderId="22" numFmtId="164" xfId="1" applyNumberFormat="1" applyFont="1" applyBorder="1" applyAlignment="1">
      <alignment vertical="center"/>
    </xf>
    <xf fontId="1" fillId="0" borderId="20" numFmtId="164" xfId="0" applyNumberFormat="1" applyFont="1" applyBorder="1" applyAlignment="1">
      <alignment vertical="center"/>
    </xf>
    <xf fontId="1" fillId="0" borderId="23" numFmtId="164" xfId="1" applyNumberFormat="1" applyFont="1" applyBorder="1" applyAlignment="1">
      <alignment vertical="center"/>
    </xf>
    <xf fontId="1" fillId="6" borderId="19" numFmtId="164" xfId="1" applyNumberFormat="1" applyFont="1" applyFill="1" applyBorder="1" applyAlignment="1">
      <alignment vertical="center"/>
    </xf>
    <xf fontId="1" fillId="0" borderId="24" numFmtId="0" xfId="0" applyFont="1" applyBorder="1" applyAlignment="1">
      <alignment horizontal="center" vertical="center"/>
    </xf>
    <xf fontId="7" fillId="0" borderId="25" numFmtId="0" xfId="0" applyFont="1" applyBorder="1" applyAlignment="1">
      <alignment vertical="center"/>
    </xf>
    <xf fontId="1" fillId="0" borderId="26" numFmtId="0" xfId="0" applyFont="1" applyBorder="1" applyAlignment="1">
      <alignment horizontal="center" vertical="center"/>
    </xf>
    <xf fontId="1" fillId="0" borderId="25" numFmtId="15" xfId="0" applyNumberFormat="1" applyFont="1" applyBorder="1" applyAlignment="1">
      <alignment horizontal="left" vertical="center"/>
    </xf>
    <xf fontId="1" fillId="0" borderId="24" numFmtId="164" xfId="1" applyNumberFormat="1" applyFont="1" applyBorder="1" applyAlignment="1">
      <alignment vertical="center"/>
    </xf>
    <xf fontId="1" fillId="0" borderId="25" numFmtId="164" xfId="1" applyNumberFormat="1" applyFont="1" applyBorder="1" applyAlignment="1">
      <alignment vertical="center"/>
    </xf>
    <xf fontId="1" fillId="0" borderId="25" numFmtId="0" xfId="0" applyFont="1" applyBorder="1" applyAlignment="1">
      <alignment horizontal="center" vertical="center"/>
    </xf>
    <xf fontId="1" fillId="0" borderId="27" numFmtId="164" xfId="1" applyNumberFormat="1" applyFont="1" applyBorder="1" applyAlignment="1">
      <alignment vertical="center"/>
    </xf>
    <xf fontId="1" fillId="0" borderId="28" numFmtId="164" xfId="1" applyNumberFormat="1" applyFont="1" applyBorder="1" applyAlignment="1">
      <alignment vertical="center"/>
    </xf>
    <xf fontId="1" fillId="0" borderId="29" numFmtId="164" xfId="1" applyNumberFormat="1" applyFont="1" applyBorder="1" applyAlignment="1">
      <alignment vertical="center"/>
    </xf>
    <xf fontId="1" fillId="0" borderId="27" numFmtId="164" xfId="0" applyNumberFormat="1" applyFont="1" applyBorder="1" applyAlignment="1">
      <alignment vertical="center"/>
    </xf>
    <xf fontId="1" fillId="0" borderId="30" numFmtId="164" xfId="1" applyNumberFormat="1" applyFont="1" applyBorder="1" applyAlignment="1">
      <alignment vertical="center"/>
    </xf>
    <xf fontId="8" fillId="0" borderId="0" numFmtId="164" xfId="0" applyNumberFormat="1" applyFont="1" applyAlignment="1">
      <alignment vertical="center"/>
    </xf>
    <xf fontId="6" fillId="0" borderId="0" numFmtId="0" xfId="0" applyFont="1" applyAlignment="1">
      <alignment vertical="center"/>
    </xf>
    <xf fontId="6" fillId="0" borderId="0" numFmtId="0" xfId="0" applyFont="1" applyAlignment="1">
      <alignment horizontal="center" vertical="center"/>
    </xf>
    <xf fontId="6" fillId="0" borderId="0" numFmtId="0" xfId="0" applyFont="1" applyAlignment="1">
      <alignment horizontal="left" vertical="center"/>
    </xf>
    <xf fontId="6" fillId="0" borderId="0" numFmtId="164" xfId="0" applyNumberFormat="1" applyFont="1" applyAlignment="1">
      <alignment horizontal="left" vertical="center"/>
    </xf>
    <xf fontId="6" fillId="0" borderId="0" numFmtId="164" xfId="1" applyNumberFormat="1" applyFont="1" applyAlignment="1">
      <alignment vertical="center"/>
    </xf>
    <xf fontId="1" fillId="5" borderId="0" numFmtId="164" xfId="0" applyNumberFormat="1" applyFont="1" applyFill="1" applyAlignment="1">
      <alignment horizontal="center" vertical="center" wrapText="1"/>
    </xf>
    <xf fontId="9" fillId="0" borderId="0" numFmtId="164" xfId="0" applyNumberFormat="1" applyFont="1" applyAlignment="1">
      <alignment vertical="center"/>
    </xf>
    <xf fontId="1" fillId="0" borderId="0" numFmtId="166" xfId="0" applyNumberFormat="1" applyFont="1" applyAlignment="1">
      <alignment horizontal="left" vertical="top"/>
    </xf>
    <xf fontId="10" fillId="0" borderId="0" numFmtId="164" xfId="0" applyNumberFormat="1" applyFont="1" applyAlignment="1">
      <alignment vertical="center"/>
    </xf>
    <xf fontId="6" fillId="0" borderId="0" numFmtId="0" xfId="0" applyFont="1" applyAlignment="1">
      <alignment horizontal="center" vertical="center" wrapText="1"/>
    </xf>
    <xf fontId="1" fillId="0" borderId="0" numFmtId="164" xfId="1" applyNumberFormat="1" applyFont="1" applyAlignment="1">
      <alignment vertical="center"/>
    </xf>
    <xf fontId="1" fillId="0" borderId="0" numFmtId="0" xfId="0" applyFont="1" applyAlignment="1" quotePrefix="1">
      <alignment vertical="center"/>
    </xf>
    <xf fontId="1" fillId="0" borderId="0" numFmtId="0" xfId="0" applyFont="1"/>
    <xf fontId="1" fillId="0" borderId="0" numFmtId="3" xfId="0" applyNumberFormat="1" applyFont="1"/>
    <xf fontId="11" fillId="7" borderId="0" numFmtId="167" xfId="0" applyNumberFormat="1" applyFont="1" applyFill="1" applyAlignment="1">
      <alignment horizontal="center" vertical="center" wrapText="1"/>
    </xf>
    <xf fontId="12" fillId="0" borderId="0" numFmtId="0" xfId="0" applyFont="1" applyAlignment="1">
      <alignment horizontal="center" vertical="center"/>
    </xf>
    <xf fontId="13" fillId="8" borderId="31" numFmtId="0" xfId="0" applyFont="1" applyFill="1" applyBorder="1" applyAlignment="1">
      <alignment horizontal="center" vertical="center"/>
    </xf>
    <xf fontId="14" fillId="0" borderId="0" numFmtId="0" xfId="0" applyFont="1" applyAlignment="1">
      <alignment horizontal="left" vertical="center"/>
    </xf>
    <xf fontId="15" fillId="9" borderId="0" numFmtId="168" xfId="0" applyNumberFormat="1" applyFont="1" applyFill="1" applyAlignment="1">
      <alignment horizontal="center" vertical="center"/>
    </xf>
    <xf fontId="16" fillId="10" borderId="0" numFmtId="169" xfId="0" applyNumberFormat="1" applyFont="1" applyFill="1" applyAlignment="1">
      <alignment horizontal="center" vertical="center"/>
    </xf>
    <xf fontId="17" fillId="11" borderId="0" numFmtId="0" xfId="0" applyFont="1" applyFill="1" applyAlignment="1">
      <alignment horizontal="center" vertical="center"/>
    </xf>
    <xf fontId="17" fillId="11" borderId="32" numFmtId="0" xfId="0" applyFont="1" applyFill="1" applyBorder="1" applyAlignment="1">
      <alignment horizontal="center" vertical="center"/>
    </xf>
    <xf fontId="18" fillId="10" borderId="0" numFmtId="170" xfId="0" applyNumberFormat="1" applyFont="1" applyFill="1" applyAlignment="1">
      <alignment horizontal="center" vertical="center"/>
    </xf>
    <xf fontId="19" fillId="11" borderId="0" numFmtId="0" xfId="0" applyFont="1" applyFill="1" applyAlignment="1">
      <alignment horizontal="center" vertical="center"/>
    </xf>
    <xf fontId="20" fillId="8" borderId="33" numFmtId="0" xfId="0" applyFont="1" applyFill="1" applyBorder="1" applyAlignment="1">
      <alignment horizontal="center" vertical="center"/>
    </xf>
    <xf fontId="20" fillId="8" borderId="34" numFmtId="0" xfId="0" applyFont="1" applyFill="1" applyBorder="1" applyAlignment="1">
      <alignment horizontal="center" vertical="center"/>
    </xf>
    <xf fontId="19" fillId="11" borderId="35" numFmtId="0" xfId="0" applyFont="1" applyFill="1" applyBorder="1" applyAlignment="1">
      <alignment horizontal="center" vertical="center"/>
    </xf>
    <xf fontId="19" fillId="11" borderId="36" numFmtId="0" xfId="0" applyFont="1" applyFill="1" applyBorder="1" applyAlignment="1">
      <alignment horizontal="center" vertical="center"/>
    </xf>
    <xf fontId="18" fillId="10" borderId="37" numFmtId="170" xfId="0" applyNumberFormat="1" applyFont="1" applyFill="1" applyBorder="1" applyAlignment="1">
      <alignment horizontal="center" vertical="center"/>
    </xf>
    <xf fontId="19" fillId="11" borderId="38" numFmtId="0" xfId="0" applyFont="1" applyFill="1" applyBorder="1" applyAlignment="1">
      <alignment vertical="center"/>
    </xf>
    <xf fontId="19" fillId="11" borderId="39" numFmtId="0" xfId="0" applyFont="1" applyFill="1" applyBorder="1" applyAlignment="1">
      <alignment vertical="center"/>
    </xf>
    <xf fontId="19" fillId="11" borderId="40" numFmtId="0" xfId="0" applyFont="1" applyFill="1" applyBorder="1" applyAlignment="1">
      <alignment vertical="center"/>
    </xf>
    <xf fontId="1" fillId="0" borderId="41" numFmtId="0" xfId="0" applyFont="1" applyBorder="1"/>
    <xf fontId="1" fillId="0" borderId="42" numFmtId="3" xfId="0" applyNumberFormat="1" applyFont="1" applyBorder="1"/>
    <xf fontId="18" fillId="10" borderId="41" numFmtId="170" xfId="0" applyNumberFormat="1" applyFont="1" applyFill="1" applyBorder="1" applyAlignment="1">
      <alignment vertical="center"/>
    </xf>
    <xf fontId="15" fillId="10" borderId="0" numFmtId="170" xfId="0" applyNumberFormat="1" applyFont="1" applyFill="1" applyAlignment="1">
      <alignment vertical="center"/>
    </xf>
    <xf fontId="18" fillId="10" borderId="0" numFmtId="170" xfId="0" applyNumberFormat="1" applyFont="1" applyFill="1" applyAlignment="1">
      <alignment vertical="center"/>
    </xf>
    <xf fontId="21" fillId="10" borderId="0" numFmtId="170" xfId="0" applyNumberFormat="1" applyFont="1" applyFill="1" applyAlignment="1">
      <alignment horizontal="center" vertical="center"/>
    </xf>
    <xf fontId="21" fillId="10" borderId="42" numFmtId="170" xfId="0" applyNumberFormat="1" applyFont="1" applyFill="1" applyBorder="1" applyAlignment="1">
      <alignment horizontal="center" vertical="center"/>
    </xf>
    <xf fontId="22" fillId="0" borderId="0" numFmtId="3" xfId="0" applyNumberFormat="1" applyFont="1"/>
    <xf fontId="6" fillId="0" borderId="43" numFmtId="3" xfId="0" applyNumberFormat="1" applyFont="1" applyBorder="1"/>
    <xf fontId="19" fillId="11" borderId="41" numFmtId="0" xfId="0" applyFont="1" applyFill="1" applyBorder="1" applyAlignment="1">
      <alignment vertical="center"/>
    </xf>
    <xf fontId="19" fillId="11" borderId="0" numFmtId="0" xfId="0" applyFont="1" applyFill="1" applyAlignment="1">
      <alignment vertical="center"/>
    </xf>
    <xf fontId="19" fillId="11" borderId="42" numFmtId="0" xfId="0" applyFont="1" applyFill="1" applyBorder="1" applyAlignment="1">
      <alignment vertical="center"/>
    </xf>
    <xf fontId="15" fillId="10" borderId="0" numFmtId="170" xfId="0" applyNumberFormat="1" applyFont="1" applyFill="1" applyAlignment="1">
      <alignment horizontal="center" vertical="center"/>
    </xf>
    <xf fontId="1" fillId="0" borderId="41" numFmtId="0" xfId="0" applyFont="1" applyBorder="1" applyAlignment="1">
      <alignment horizontal="center"/>
    </xf>
    <xf fontId="22" fillId="0" borderId="0" numFmtId="3" xfId="0" applyNumberFormat="1" applyFont="1" applyAlignment="1">
      <alignment horizontal="center"/>
    </xf>
    <xf fontId="1" fillId="0" borderId="0" numFmtId="164" xfId="1" applyNumberFormat="1" applyFont="1"/>
    <xf fontId="23" fillId="0" borderId="0" numFmtId="164" xfId="1" applyNumberFormat="1" applyFont="1"/>
    <xf fontId="24" fillId="0" borderId="0" numFmtId="0" xfId="0" applyFont="1"/>
    <xf fontId="1" fillId="0" borderId="0" numFmtId="164" xfId="0" applyNumberFormat="1" applyFont="1"/>
    <xf fontId="1" fillId="0" borderId="44" numFmtId="3" xfId="0" applyNumberFormat="1" applyFont="1" applyBorder="1"/>
    <xf fontId="6" fillId="0" borderId="42" numFmtId="3" xfId="0" applyNumberFormat="1" applyFont="1" applyBorder="1"/>
    <xf fontId="1" fillId="0" borderId="45" numFmtId="0" xfId="0" applyFont="1" applyBorder="1"/>
    <xf fontId="1" fillId="0" borderId="1" numFmtId="0" xfId="0" applyFont="1" applyBorder="1"/>
    <xf fontId="1" fillId="0" borderId="1" numFmtId="3" xfId="0" applyNumberFormat="1" applyFont="1" applyBorder="1"/>
    <xf fontId="1" fillId="0" borderId="46" numFmtId="3" xfId="0" applyNumberFormat="1" applyFont="1" applyBorder="1"/>
    <xf fontId="1" fillId="0" borderId="0" numFmtId="0" xfId="0" applyFont="1" applyAlignment="1">
      <alignment horizontal="center"/>
    </xf>
    <xf fontId="25" fillId="2" borderId="0" numFmtId="0" xfId="0" applyFont="1" applyFill="1" applyAlignment="1">
      <alignment horizontal="center" vertical="center"/>
    </xf>
    <xf fontId="6" fillId="3" borderId="0" numFmtId="0" xfId="0" applyFont="1" applyFill="1" applyAlignment="1">
      <alignment horizontal="center" vertical="center"/>
    </xf>
    <xf fontId="6" fillId="3" borderId="15" numFmtId="0" xfId="0" applyFont="1" applyFill="1" applyBorder="1" applyAlignment="1">
      <alignment horizontal="center" vertical="center" wrapText="1"/>
    </xf>
    <xf fontId="6" fillId="3" borderId="13" numFmtId="0" xfId="0" applyFont="1" applyFill="1" applyBorder="1" applyAlignment="1">
      <alignment horizontal="center" vertical="center" wrapText="1"/>
    </xf>
    <xf fontId="6" fillId="3" borderId="14" numFmtId="0" xfId="0" applyFont="1" applyFill="1" applyBorder="1" applyAlignment="1">
      <alignment horizontal="center" vertical="center" wrapText="1"/>
    </xf>
    <xf fontId="1" fillId="0" borderId="47" numFmtId="0" xfId="0" applyFont="1" applyBorder="1"/>
    <xf fontId="1" fillId="0" borderId="48" numFmtId="0" xfId="0" applyFont="1" applyBorder="1"/>
    <xf fontId="1" fillId="0" borderId="48" numFmtId="0" xfId="0" applyFont="1" applyBorder="1" applyAlignment="1">
      <alignment horizontal="center"/>
    </xf>
    <xf fontId="1" fillId="0" borderId="49" numFmtId="0" xfId="0" applyFont="1" applyBorder="1"/>
    <xf fontId="1" fillId="0" borderId="49" numFmtId="0" xfId="0" applyFont="1" applyBorder="1" applyAlignment="1">
      <alignment horizontal="center" vertical="center"/>
    </xf>
    <xf fontId="1" fillId="0" borderId="49" numFmtId="3" xfId="0" applyNumberFormat="1" applyFont="1" applyBorder="1"/>
    <xf fontId="1" fillId="0" borderId="49" numFmtId="3" xfId="0" applyNumberFormat="1" applyFont="1" applyBorder="1" quotePrefix="1"/>
    <xf fontId="1" fillId="0" borderId="50" numFmtId="0" xfId="0" applyFont="1" applyBorder="1"/>
    <xf fontId="1" fillId="0" borderId="51" numFmtId="0" xfId="0" applyFont="1" applyBorder="1"/>
    <xf fontId="1" fillId="0" borderId="52" numFmtId="0" xfId="0" applyFont="1" applyBorder="1"/>
    <xf fontId="1" fillId="0" borderId="52" numFmtId="0" xfId="0" applyFont="1" applyBorder="1" applyAlignment="1">
      <alignment horizontal="center"/>
    </xf>
    <xf fontId="1" fillId="0" borderId="19" numFmtId="0" xfId="0" applyFont="1" applyBorder="1"/>
    <xf fontId="1" fillId="0" borderId="19" numFmtId="3" xfId="0" applyNumberFormat="1" applyFont="1" applyBorder="1"/>
    <xf fontId="1" fillId="0" borderId="53" numFmtId="0" xfId="0" applyFont="1" applyBorder="1"/>
    <xf fontId="1" fillId="0" borderId="54" numFmtId="0" xfId="0" applyFont="1" applyBorder="1"/>
    <xf fontId="1" fillId="0" borderId="55" numFmtId="0" xfId="0" applyFont="1" applyBorder="1" applyAlignment="1">
      <alignment horizontal="center"/>
    </xf>
    <xf fontId="25" fillId="2" borderId="56" numFmtId="0" xfId="0" applyFont="1" applyFill="1" applyBorder="1"/>
    <xf fontId="25" fillId="2" borderId="57" numFmtId="0" xfId="0" applyFont="1" applyFill="1" applyBorder="1"/>
    <xf fontId="25" fillId="2" borderId="57" numFmtId="0" xfId="0" applyFont="1" applyFill="1" applyBorder="1" applyAlignment="1">
      <alignment horizontal="center"/>
    </xf>
    <xf fontId="25" fillId="2" borderId="58" numFmtId="0" xfId="0" applyFont="1" applyFill="1" applyBorder="1"/>
    <xf fontId="25" fillId="2" borderId="58" numFmtId="3" xfId="0" applyNumberFormat="1" applyFont="1" applyFill="1" applyBorder="1"/>
    <xf fontId="25" fillId="2" borderId="59" numFmtId="0" xfId="0" applyFont="1" applyFill="1" applyBorder="1"/>
    <xf fontId="1" fillId="0" borderId="0" numFmtId="166" xfId="0" applyNumberFormat="1" applyFont="1"/>
    <xf fontId="6" fillId="0" borderId="0" numFmtId="0" xfId="0" applyFont="1"/>
    <xf fontId="26" fillId="2" borderId="0" numFmtId="0" xfId="0" applyFont="1" applyFill="1" applyAlignment="1">
      <alignment horizontal="center" vertical="center"/>
    </xf>
    <xf fontId="27" fillId="0" borderId="0" numFmtId="0" xfId="0" applyFont="1" applyAlignment="1">
      <alignment vertical="center"/>
    </xf>
    <xf fontId="28" fillId="3" borderId="0" numFmtId="0" xfId="0" applyFont="1" applyFill="1" applyAlignment="1">
      <alignment horizontal="center" vertical="center"/>
    </xf>
    <xf fontId="29" fillId="4" borderId="0" numFmtId="0" xfId="0" applyFont="1" applyFill="1" applyAlignment="1">
      <alignment horizontal="center"/>
    </xf>
    <xf fontId="30" fillId="0" borderId="0" numFmtId="0" xfId="0" applyFont="1"/>
    <xf fontId="29" fillId="0" borderId="1" numFmtId="0" xfId="0" applyFont="1" applyBorder="1" applyAlignment="1">
      <alignment horizontal="center" vertical="center"/>
    </xf>
    <xf fontId="0" fillId="0" borderId="0" numFmtId="164" xfId="1" applyNumberFormat="1"/>
    <xf fontId="0" fillId="0" borderId="0" numFmtId="10" xfId="2" applyNumberFormat="1"/>
    <xf fontId="0" fillId="0" borderId="1" numFmtId="164" xfId="1" applyNumberFormat="1" applyBorder="1"/>
    <xf fontId="0" fillId="0" borderId="1" numFmtId="10" xfId="2" applyNumberFormat="1" applyBorder="1"/>
    <xf fontId="0" fillId="0" borderId="0" numFmtId="0" xfId="0" applyAlignment="1">
      <alignment horizontal="right"/>
    </xf>
    <xf fontId="0" fillId="0" borderId="0" numFmtId="164" xfId="0" applyNumberFormat="1"/>
    <xf fontId="0" fillId="0" borderId="1" numFmtId="164" xfId="0" applyNumberFormat="1" applyBorder="1"/>
    <xf fontId="0" fillId="0" borderId="1" numFmtId="171" xfId="1" applyNumberFormat="1" applyBorder="1"/>
    <xf fontId="29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30" fillId="0" borderId="0" numFmtId="0" xfId="0" applyFont="1" applyAlignment="1">
      <alignment horizontal="center"/>
    </xf>
    <xf fontId="29" fillId="0" borderId="0" numFmtId="0" xfId="0" applyFont="1"/>
    <xf fontId="29" fillId="4" borderId="0" numFmtId="0" xfId="0" applyFont="1" applyFill="1"/>
    <xf fontId="29" fillId="4" borderId="0" numFmtId="164" xfId="0" applyNumberFormat="1" applyFont="1" applyFill="1"/>
    <xf fontId="31" fillId="2" borderId="0" numFmtId="0" xfId="0" applyFont="1" applyFill="1" applyAlignment="1">
      <alignment horizontal="center" vertical="center"/>
    </xf>
    <xf fontId="32" fillId="3" borderId="38" numFmtId="0" xfId="0" applyFont="1" applyFill="1" applyBorder="1" applyAlignment="1">
      <alignment horizontal="center" vertical="center"/>
    </xf>
    <xf fontId="33" fillId="3" borderId="60" numFmtId="0" xfId="0" applyFont="1" applyFill="1" applyBorder="1" applyAlignment="1">
      <alignment horizontal="center" vertical="center"/>
    </xf>
    <xf fontId="34" fillId="3" borderId="15" numFmtId="0" xfId="0" applyFont="1" applyFill="1" applyBorder="1" applyAlignment="1">
      <alignment horizontal="center"/>
    </xf>
    <xf fontId="34" fillId="3" borderId="13" numFmtId="0" xfId="0" applyFont="1" applyFill="1" applyBorder="1" applyAlignment="1">
      <alignment horizontal="center"/>
    </xf>
    <xf fontId="34" fillId="3" borderId="14" numFmtId="0" xfId="0" applyFont="1" applyFill="1" applyBorder="1" applyAlignment="1">
      <alignment horizontal="center"/>
    </xf>
    <xf fontId="32" fillId="3" borderId="45" numFmtId="0" xfId="0" applyFont="1" applyFill="1" applyBorder="1" applyAlignment="1">
      <alignment horizontal="center" vertical="center"/>
    </xf>
    <xf fontId="33" fillId="3" borderId="11" numFmtId="0" xfId="0" applyFont="1" applyFill="1" applyBorder="1" applyAlignment="1">
      <alignment horizontal="center" vertical="center"/>
    </xf>
    <xf fontId="29" fillId="3" borderId="11" numFmtId="0" xfId="0" applyFont="1" applyFill="1" applyBorder="1" applyAlignment="1">
      <alignment horizontal="center"/>
    </xf>
    <xf fontId="0" fillId="0" borderId="10" numFmtId="0" xfId="0" applyBorder="1" applyAlignment="1">
      <alignment horizontal="center"/>
    </xf>
    <xf fontId="27" fillId="0" borderId="10" numFmtId="0" xfId="0" applyFont="1" applyBorder="1" applyAlignment="1">
      <alignment horizontal="left"/>
    </xf>
    <xf fontId="0" fillId="0" borderId="10" numFmtId="164" xfId="1" applyNumberFormat="1" applyBorder="1"/>
    <xf fontId="27" fillId="0" borderId="10" numFmtId="0" xfId="0" applyFont="1" applyBorder="1" applyAlignment="1">
      <alignment horizontal="left" vertical="center"/>
    </xf>
    <xf fontId="0" fillId="4" borderId="0" numFmtId="0" xfId="0" applyFill="1"/>
    <xf fontId="34" fillId="4" borderId="0" numFmtId="0" xfId="0" applyFont="1" applyFill="1"/>
    <xf fontId="27" fillId="4" borderId="0" numFmtId="164" xfId="1" applyNumberFormat="1" applyFont="1" applyFill="1"/>
    <xf fontId="0" fillId="4" borderId="0" numFmtId="164" xfId="0" applyNumberFormat="1" applyFill="1"/>
    <xf fontId="29" fillId="4" borderId="0" numFmtId="164" xfId="1" applyNumberFormat="1" applyFont="1" applyFill="1"/>
    <xf fontId="34" fillId="0" borderId="0" numFmtId="0" xfId="0" applyFont="1"/>
    <xf fontId="27" fillId="0" borderId="0" numFmtId="164" xfId="1" applyNumberFormat="1" applyFont="1"/>
    <xf fontId="29" fillId="0" borderId="0" numFmtId="164" xfId="1" applyNumberFormat="1" applyFont="1"/>
    <xf fontId="35" fillId="0" borderId="0" numFmtId="0" xfId="0" applyFont="1"/>
    <xf fontId="27" fillId="0" borderId="0" numFmtId="0" xfId="0" applyFont="1" applyAlignment="1">
      <alignment horizontal="center"/>
    </xf>
    <xf fontId="34" fillId="3" borderId="60" numFmtId="0" xfId="0" applyFont="1" applyFill="1" applyBorder="1" applyAlignment="1">
      <alignment horizontal="center" vertical="center"/>
    </xf>
    <xf fontId="29" fillId="3" borderId="10" numFmtId="0" xfId="0" applyFont="1" applyFill="1" applyBorder="1" applyAlignment="1">
      <alignment horizontal="center"/>
    </xf>
    <xf fontId="34" fillId="3" borderId="11" numFmtId="0" xfId="0" applyFont="1" applyFill="1" applyBorder="1" applyAlignment="1">
      <alignment horizontal="center" vertical="center"/>
    </xf>
    <xf fontId="0" fillId="4" borderId="0" numFmtId="164" xfId="1" applyNumberFormat="1" applyFill="1"/>
    <xf fontId="26" fillId="2" borderId="38" numFmtId="0" xfId="0" applyFont="1" applyFill="1" applyBorder="1" applyAlignment="1">
      <alignment horizontal="center" vertical="center"/>
    </xf>
    <xf fontId="26" fillId="2" borderId="40" numFmtId="0" xfId="0" applyFont="1" applyFill="1" applyBorder="1" applyAlignment="1">
      <alignment horizontal="center" vertical="center"/>
    </xf>
    <xf fontId="36" fillId="4" borderId="41" numFmtId="0" xfId="0" applyFont="1" applyFill="1" applyBorder="1" applyAlignment="1">
      <alignment horizontal="center"/>
    </xf>
    <xf fontId="36" fillId="4" borderId="42" numFmtId="0" xfId="0" applyFont="1" applyFill="1" applyBorder="1" applyAlignment="1">
      <alignment horizontal="center"/>
    </xf>
    <xf fontId="29" fillId="0" borderId="41" numFmtId="0" xfId="0" applyFont="1" applyBorder="1" applyAlignment="1">
      <alignment horizontal="center"/>
    </xf>
    <xf fontId="0" fillId="0" borderId="42" numFmtId="0" xfId="0" applyBorder="1"/>
    <xf fontId="37" fillId="0" borderId="42" numFmtId="0" xfId="0" applyFont="1" applyBorder="1"/>
    <xf fontId="30" fillId="0" borderId="42" numFmtId="0" xfId="0" applyFont="1" applyBorder="1" applyAlignment="1">
      <alignment vertical="center"/>
    </xf>
    <xf fontId="0" fillId="0" borderId="42" numFmtId="0" xfId="0" applyBorder="1" applyAlignment="1">
      <alignment vertical="center"/>
    </xf>
    <xf fontId="29" fillId="0" borderId="45" numFmtId="0" xfId="0" applyFont="1" applyBorder="1"/>
    <xf fontId="0" fillId="0" borderId="46" numFmtId="0" xfId="0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#&apos;Rec. Data System-Out&apos;!B714" TargetMode="External"/><Relationship Id="rId2" Type="http://schemas.openxmlformats.org/officeDocument/2006/relationships/image" Target="../media/image1.png"/><Relationship Id="rId3" Type="http://schemas.openxmlformats.org/officeDocument/2006/relationships/hyperlink" Target="#&apos;Rec. Data System-Out&apos;!A1" TargetMode="Externa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128476</xdr:colOff>
      <xdr:row>2</xdr:row>
      <xdr:rowOff>161702</xdr:rowOff>
    </xdr:from>
    <xdr:to>
      <xdr:col>2</xdr:col>
      <xdr:colOff>912825</xdr:colOff>
      <xdr:row>7</xdr:row>
      <xdr:rowOff>79743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28476" y="516122"/>
          <a:ext cx="1461858" cy="1193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281940</xdr:colOff>
      <xdr:row>0</xdr:row>
      <xdr:rowOff>148590</xdr:rowOff>
    </xdr:from>
    <xdr:to>
      <xdr:col>2</xdr:col>
      <xdr:colOff>613290</xdr:colOff>
      <xdr:row>1</xdr:row>
      <xdr:rowOff>662940</xdr:rowOff>
    </xdr:to>
    <xdr:pic>
      <xdr:nvPicPr>
        <xdr:cNvPr id="2" name="Picture 1">
          <a:hlinkClick r:id="rId1"/>
        </xdr:cNvPr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81940" y="148590"/>
          <a:ext cx="874275" cy="695325"/>
        </a:xfrm>
        <a:prstGeom prst="rect">
          <a:avLst/>
        </a:prstGeom>
      </xdr:spPr>
    </xdr:pic>
    <xdr:clientData/>
  </xdr:twoCellAnchor>
  <xdr:twoCellAnchor editAs="twoCell">
    <xdr:from>
      <xdr:col>1</xdr:col>
      <xdr:colOff>76200</xdr:colOff>
      <xdr:row>711</xdr:row>
      <xdr:rowOff>66676</xdr:rowOff>
    </xdr:from>
    <xdr:to>
      <xdr:col>2</xdr:col>
      <xdr:colOff>332232</xdr:colOff>
      <xdr:row>714</xdr:row>
      <xdr:rowOff>8383</xdr:rowOff>
    </xdr:to>
    <xdr:sp textlink="">
      <xdr:nvSpPr>
        <xdr:cNvPr id="3" name="Arrow: Chevron 2">
          <a:hlinkClick r:id="rId3"/>
        </xdr:cNvPr>
        <xdr:cNvSpPr/>
      </xdr:nvSpPr>
      <xdr:spPr bwMode="auto">
        <a:xfrm rot="10958424">
          <a:off x="390525" y="143160751"/>
          <a:ext cx="484632" cy="484632"/>
        </a:xfrm>
        <a:prstGeom prst="chevron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ID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300182</xdr:colOff>
      <xdr:row>0</xdr:row>
      <xdr:rowOff>169332</xdr:rowOff>
    </xdr:from>
    <xdr:to>
      <xdr:col>2</xdr:col>
      <xdr:colOff>15394</xdr:colOff>
      <xdr:row>4</xdr:row>
      <xdr:rowOff>30786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00182" y="169332"/>
          <a:ext cx="885150" cy="73890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0" workbookViewId="0">
      <selection activeCell="L21" activeCellId="0" sqref="L21"/>
    </sheetView>
  </sheetViews>
  <sheetFormatPr defaultColWidth="9.140625" defaultRowHeight="14.25"/>
  <cols>
    <col customWidth="1" min="1" max="1" style="1" width="4"/>
    <col customWidth="1" min="2" max="2" style="2" width="5.28515625"/>
    <col customWidth="1" min="3" max="3" style="1" width="13.85546875"/>
    <col customWidth="1" min="4" max="4" style="1" width="17.7109375"/>
    <col customWidth="1" min="5" max="5" style="1" width="18.5703125"/>
    <col customWidth="1" min="6" max="6" style="1" width="13.140625"/>
    <col customWidth="1" min="7" max="7" style="1" width="11.85546875"/>
    <col customWidth="1" min="8" max="8" style="1" width="18.5703125"/>
    <col customWidth="1" min="9" max="9" style="1" width="17.28515625"/>
    <col customWidth="1" min="10" max="10" style="1" width="5.28515625"/>
    <col customWidth="1" min="11" max="11" style="1" width="16.140625"/>
    <col customWidth="1" min="12" max="12" style="1" width="5.42578125"/>
    <col customWidth="1" min="13" max="13" style="1" width="15.7109375"/>
    <col customWidth="1" min="14" max="14" style="1" width="16.7109375"/>
    <col customWidth="1" min="15" max="15" style="1" width="18.85546875"/>
    <col customWidth="1" min="16" max="16" style="1" width="16.85546875"/>
    <col customWidth="1" min="17" max="17" style="1" width="18.5703125"/>
    <col customWidth="1" min="18" max="18" style="1" width="15.5703125"/>
    <col customWidth="1" min="19" max="19" style="1" width="16.7109375"/>
    <col customWidth="1" min="20" max="20" style="1" width="16.85546875"/>
    <col customWidth="1" min="21" max="21" style="1" width="15.85546875"/>
    <col customWidth="1" min="22" max="22" style="1" width="15.42578125"/>
    <col customWidth="1" min="23" max="23" style="1" width="15.140625"/>
    <col min="24" max="16384" style="1" width="9.140625"/>
  </cols>
  <sheetData>
    <row r="4" ht="38.450000000000003" customHeight="1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B4" s="4" t="s">
        <v>1</v>
      </c>
    </row>
    <row r="5" ht="20.449999999999999" customHeight="1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AB5" s="4" t="s">
        <v>3</v>
      </c>
    </row>
    <row r="6"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B7" s="6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22.149999999999999" customHeight="1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22.149999999999999" customHeight="1"/>
    <row r="10" ht="16.5">
      <c r="B10" s="9" t="s">
        <v>6</v>
      </c>
      <c r="D10" s="10" t="s">
        <v>7</v>
      </c>
      <c r="G10" s="10"/>
      <c r="S10" s="11" t="s">
        <v>8</v>
      </c>
      <c r="T10" s="12">
        <v>2023</v>
      </c>
      <c r="U10" s="13"/>
      <c r="V10" s="13"/>
    </row>
    <row r="11" ht="16.5">
      <c r="B11" s="9"/>
      <c r="G11" s="10"/>
      <c r="T11" s="14"/>
      <c r="U11" s="14"/>
      <c r="V11" s="14"/>
    </row>
    <row r="12" ht="30" customHeight="1">
      <c r="B12" s="15" t="s">
        <v>9</v>
      </c>
      <c r="C12" s="16" t="s">
        <v>10</v>
      </c>
      <c r="D12" s="17" t="s">
        <v>11</v>
      </c>
      <c r="E12" s="18"/>
      <c r="F12" s="19" t="s">
        <v>12</v>
      </c>
      <c r="G12" s="20" t="s">
        <v>13</v>
      </c>
      <c r="H12" s="21" t="s">
        <v>14</v>
      </c>
      <c r="I12" s="22"/>
      <c r="J12" s="22"/>
      <c r="K12" s="22"/>
      <c r="L12" s="22"/>
      <c r="M12" s="23"/>
      <c r="N12" s="21" t="s">
        <v>15</v>
      </c>
      <c r="O12" s="24"/>
      <c r="P12" s="24"/>
      <c r="Q12" s="23"/>
      <c r="R12" s="18" t="s">
        <v>16</v>
      </c>
      <c r="S12" s="16"/>
      <c r="T12" s="16"/>
      <c r="U12" s="17"/>
      <c r="V12" s="17"/>
      <c r="W12" s="25"/>
    </row>
    <row r="13" s="26" customFormat="1" ht="28.5">
      <c r="B13" s="27"/>
      <c r="C13" s="28"/>
      <c r="D13" s="29" t="s">
        <v>17</v>
      </c>
      <c r="E13" s="29" t="s">
        <v>18</v>
      </c>
      <c r="F13" s="29"/>
      <c r="G13" s="30"/>
      <c r="H13" s="27" t="s">
        <v>19</v>
      </c>
      <c r="I13" s="30" t="s">
        <v>20</v>
      </c>
      <c r="J13" s="30" t="s">
        <v>21</v>
      </c>
      <c r="K13" s="30" t="s">
        <v>22</v>
      </c>
      <c r="L13" s="30" t="s">
        <v>23</v>
      </c>
      <c r="M13" s="31" t="s">
        <v>24</v>
      </c>
      <c r="N13" s="27" t="s">
        <v>25</v>
      </c>
      <c r="O13" s="30" t="s">
        <v>26</v>
      </c>
      <c r="P13" s="32" t="s">
        <v>27</v>
      </c>
      <c r="Q13" s="31" t="s">
        <v>28</v>
      </c>
      <c r="R13" s="33" t="s">
        <v>29</v>
      </c>
      <c r="S13" s="30" t="s">
        <v>30</v>
      </c>
      <c r="T13" s="30" t="s">
        <v>31</v>
      </c>
      <c r="U13" s="34" t="s">
        <v>32</v>
      </c>
      <c r="V13" s="34" t="s">
        <v>33</v>
      </c>
      <c r="W13" s="31" t="s">
        <v>34</v>
      </c>
    </row>
    <row r="14" s="26" customFormat="1">
      <c r="B14" s="35"/>
      <c r="C14" s="36"/>
      <c r="D14" s="36"/>
      <c r="E14" s="37"/>
      <c r="F14" s="37"/>
      <c r="G14" s="36"/>
      <c r="H14" s="35"/>
      <c r="I14" s="37"/>
      <c r="J14" s="37"/>
      <c r="K14" s="37"/>
      <c r="L14" s="37"/>
      <c r="M14" s="38"/>
      <c r="N14" s="35"/>
      <c r="O14" s="37"/>
      <c r="P14" s="37"/>
      <c r="Q14" s="38"/>
      <c r="R14" s="37"/>
      <c r="S14" s="37"/>
      <c r="T14" s="37"/>
      <c r="U14" s="37"/>
      <c r="V14" s="37"/>
      <c r="W14" s="38"/>
    </row>
    <row r="15" s="26" customFormat="1">
      <c r="B15" s="35"/>
      <c r="C15" s="36"/>
      <c r="D15" s="36"/>
      <c r="E15" s="37"/>
      <c r="F15" s="37"/>
      <c r="G15" s="36"/>
      <c r="H15" s="35"/>
      <c r="I15" s="37"/>
      <c r="J15" s="37"/>
      <c r="K15" s="37"/>
      <c r="L15" s="37"/>
      <c r="M15" s="38"/>
      <c r="N15" s="35"/>
      <c r="O15" s="37"/>
      <c r="P15" s="37"/>
      <c r="Q15" s="38"/>
      <c r="R15" s="37"/>
      <c r="S15" s="37"/>
      <c r="T15" s="37"/>
      <c r="U15" s="37"/>
      <c r="V15" s="37"/>
      <c r="W15" s="38"/>
    </row>
    <row r="16" ht="21.75" customHeight="1">
      <c r="B16" s="39">
        <v>1</v>
      </c>
      <c r="C16" s="40" t="s">
        <v>35</v>
      </c>
      <c r="D16" s="41">
        <v>180102</v>
      </c>
      <c r="E16" s="41">
        <v>180118</v>
      </c>
      <c r="F16" s="41">
        <v>1514</v>
      </c>
      <c r="G16" s="42">
        <v>44954</v>
      </c>
      <c r="H16" s="43">
        <f t="shared" ref="H16:H27" si="0">I16+K16+M16</f>
        <v>18633438</v>
      </c>
      <c r="I16" s="44">
        <v>14692750</v>
      </c>
      <c r="J16" s="41">
        <v>17</v>
      </c>
      <c r="K16" s="44">
        <f>3030688+885000</f>
        <v>3915688</v>
      </c>
      <c r="L16" s="41">
        <v>8</v>
      </c>
      <c r="M16" s="45">
        <v>25000</v>
      </c>
      <c r="N16" s="43">
        <v>14692750</v>
      </c>
      <c r="O16" s="46">
        <v>3915688</v>
      </c>
      <c r="P16" s="47">
        <v>25000</v>
      </c>
      <c r="Q16" s="48">
        <f t="shared" ref="Q16:Q27" si="1">N16+O16+P16</f>
        <v>18633438</v>
      </c>
      <c r="R16" s="43">
        <v>3030688</v>
      </c>
      <c r="S16" s="44">
        <f>2261375+1475000+304000+25000+885000</f>
        <v>4950375</v>
      </c>
      <c r="T16" s="44"/>
      <c r="U16" s="44">
        <v>1106000</v>
      </c>
      <c r="V16" s="49"/>
      <c r="W16" s="45"/>
    </row>
    <row r="17" ht="21.75" customHeight="1">
      <c r="B17" s="39">
        <v>2</v>
      </c>
      <c r="C17" s="40" t="s">
        <v>36</v>
      </c>
      <c r="D17" s="41">
        <v>180119</v>
      </c>
      <c r="E17" s="41">
        <v>180137</v>
      </c>
      <c r="F17" s="41">
        <v>1890</v>
      </c>
      <c r="G17" s="42">
        <v>44985</v>
      </c>
      <c r="H17" s="43">
        <f t="shared" si="0"/>
        <v>22924438</v>
      </c>
      <c r="I17" s="44">
        <v>17061750</v>
      </c>
      <c r="J17" s="41">
        <v>19</v>
      </c>
      <c r="K17" s="44">
        <f>4793188+994500</f>
        <v>5787688</v>
      </c>
      <c r="L17" s="41">
        <v>12</v>
      </c>
      <c r="M17" s="45">
        <v>75000</v>
      </c>
      <c r="N17" s="43">
        <v>17061750</v>
      </c>
      <c r="O17" s="46">
        <v>5787688</v>
      </c>
      <c r="P17" s="47">
        <v>75000</v>
      </c>
      <c r="Q17" s="48">
        <f t="shared" si="1"/>
        <v>22924438</v>
      </c>
      <c r="R17" s="43">
        <v>4793188</v>
      </c>
      <c r="S17" s="44">
        <f>994500+75000+761375+331000</f>
        <v>2161875</v>
      </c>
      <c r="T17" s="44"/>
      <c r="U17" s="44">
        <v>254000</v>
      </c>
      <c r="V17" s="49"/>
      <c r="W17" s="45"/>
    </row>
    <row r="18" ht="21.75" customHeight="1">
      <c r="B18" s="39">
        <v>3</v>
      </c>
      <c r="C18" s="40" t="s">
        <v>37</v>
      </c>
      <c r="D18" s="41">
        <v>234501</v>
      </c>
      <c r="E18" s="41">
        <v>234518</v>
      </c>
      <c r="F18" s="41" t="s">
        <v>38</v>
      </c>
      <c r="G18" s="42">
        <v>45016</v>
      </c>
      <c r="H18" s="43">
        <f t="shared" si="0"/>
        <v>17365438</v>
      </c>
      <c r="I18" s="44">
        <v>13717750</v>
      </c>
      <c r="J18" s="41">
        <v>18</v>
      </c>
      <c r="K18" s="44">
        <f>2380688+1242000</f>
        <v>3622688</v>
      </c>
      <c r="L18" s="41">
        <v>9</v>
      </c>
      <c r="M18" s="45">
        <v>25000</v>
      </c>
      <c r="N18" s="43">
        <v>13717750</v>
      </c>
      <c r="O18" s="46">
        <v>3622688</v>
      </c>
      <c r="P18" s="47">
        <v>25000</v>
      </c>
      <c r="Q18" s="48">
        <f t="shared" si="1"/>
        <v>17365438</v>
      </c>
      <c r="R18" s="43">
        <v>2380688</v>
      </c>
      <c r="S18" s="44">
        <f>1242000+25000+1001375+1473000+377000+272000</f>
        <v>4390375</v>
      </c>
      <c r="T18" s="44"/>
      <c r="U18" s="44">
        <v>1318000</v>
      </c>
      <c r="V18" s="49"/>
      <c r="W18" s="45"/>
    </row>
    <row r="19" ht="21.75" customHeight="1">
      <c r="B19" s="39">
        <v>4</v>
      </c>
      <c r="C19" s="40" t="s">
        <v>39</v>
      </c>
      <c r="D19" s="41">
        <v>234519</v>
      </c>
      <c r="E19" s="41">
        <v>234540</v>
      </c>
      <c r="F19" s="41">
        <v>3597</v>
      </c>
      <c r="G19" s="42">
        <v>45052</v>
      </c>
      <c r="H19" s="43">
        <f t="shared" si="0"/>
        <v>28030438</v>
      </c>
      <c r="I19" s="44">
        <v>22421750</v>
      </c>
      <c r="J19" s="41">
        <v>22</v>
      </c>
      <c r="K19" s="44">
        <f>4235688+1348000</f>
        <v>5583688</v>
      </c>
      <c r="L19" s="41">
        <v>10</v>
      </c>
      <c r="M19" s="45">
        <v>25000</v>
      </c>
      <c r="N19" s="43">
        <v>22421750</v>
      </c>
      <c r="O19" s="46">
        <v>5583688</v>
      </c>
      <c r="P19" s="47">
        <v>25000</v>
      </c>
      <c r="Q19" s="48">
        <f t="shared" si="1"/>
        <v>28030438</v>
      </c>
      <c r="R19" s="43">
        <f>4235688+1348000+25000</f>
        <v>5608688</v>
      </c>
      <c r="S19" s="44">
        <f>2202375+1964000+160000</f>
        <v>4326375</v>
      </c>
      <c r="T19" s="44"/>
      <c r="U19" s="44">
        <v>972000</v>
      </c>
      <c r="V19" s="49"/>
      <c r="W19" s="45"/>
    </row>
    <row r="20" ht="21" customHeight="1">
      <c r="B20" s="39">
        <v>5</v>
      </c>
      <c r="C20" s="40" t="s">
        <v>40</v>
      </c>
      <c r="D20" s="41">
        <v>244541</v>
      </c>
      <c r="E20" s="41">
        <v>244561</v>
      </c>
      <c r="F20" s="41">
        <v>3598</v>
      </c>
      <c r="G20" s="42">
        <v>45084</v>
      </c>
      <c r="H20" s="43">
        <f t="shared" si="0"/>
        <v>19134438</v>
      </c>
      <c r="I20" s="44">
        <v>16064750</v>
      </c>
      <c r="J20" s="41">
        <v>21</v>
      </c>
      <c r="K20" s="44">
        <f>2120688+924000</f>
        <v>3044688</v>
      </c>
      <c r="L20" s="41">
        <v>7</v>
      </c>
      <c r="M20" s="45">
        <v>25000</v>
      </c>
      <c r="N20" s="43">
        <v>16064750</v>
      </c>
      <c r="O20" s="46">
        <v>3044688</v>
      </c>
      <c r="P20" s="47">
        <v>25000</v>
      </c>
      <c r="Q20" s="48">
        <f t="shared" si="1"/>
        <v>19134438</v>
      </c>
      <c r="R20" s="43">
        <f>2120688+924000+25000</f>
        <v>3069688</v>
      </c>
      <c r="S20" s="44">
        <f>1267375+160000</f>
        <v>1427375</v>
      </c>
      <c r="T20" s="44"/>
      <c r="U20" s="44">
        <v>322000</v>
      </c>
      <c r="V20" s="49"/>
      <c r="W20" s="45"/>
    </row>
    <row r="21" ht="21.75" customHeight="1">
      <c r="B21" s="39">
        <v>6</v>
      </c>
      <c r="C21" s="40" t="s">
        <v>41</v>
      </c>
      <c r="D21" s="41"/>
      <c r="E21" s="41"/>
      <c r="F21" s="41"/>
      <c r="G21" s="42">
        <v>45129</v>
      </c>
      <c r="H21" s="43">
        <f t="shared" si="0"/>
        <v>18500386</v>
      </c>
      <c r="I21" s="50">
        <v>18500386</v>
      </c>
      <c r="J21" s="41">
        <v>19</v>
      </c>
      <c r="K21" s="44"/>
      <c r="L21" s="41"/>
      <c r="M21" s="45"/>
      <c r="N21" s="43">
        <v>18500386</v>
      </c>
      <c r="O21" s="46"/>
      <c r="P21" s="47"/>
      <c r="Q21" s="48">
        <f t="shared" si="1"/>
        <v>18500386</v>
      </c>
      <c r="R21" s="43"/>
      <c r="S21" s="44"/>
      <c r="T21" s="44"/>
      <c r="U21" s="44"/>
      <c r="V21" s="49"/>
      <c r="W21" s="45"/>
    </row>
    <row r="22" ht="21.75" customHeight="1">
      <c r="B22" s="39">
        <v>7</v>
      </c>
      <c r="C22" s="40" t="s">
        <v>42</v>
      </c>
      <c r="D22" s="41"/>
      <c r="E22" s="41"/>
      <c r="F22" s="41"/>
      <c r="G22" s="42">
        <v>45143</v>
      </c>
      <c r="H22" s="43">
        <f t="shared" si="0"/>
        <v>20857126</v>
      </c>
      <c r="I22" s="50">
        <v>20857126</v>
      </c>
      <c r="J22" s="41">
        <v>18</v>
      </c>
      <c r="K22" s="44"/>
      <c r="L22" s="41"/>
      <c r="M22" s="45"/>
      <c r="N22" s="43">
        <v>20857126</v>
      </c>
      <c r="O22" s="46"/>
      <c r="P22" s="47"/>
      <c r="Q22" s="48">
        <f t="shared" si="1"/>
        <v>20857126</v>
      </c>
      <c r="R22" s="43"/>
      <c r="S22" s="44"/>
      <c r="T22" s="44"/>
      <c r="U22" s="44"/>
      <c r="V22" s="49"/>
      <c r="W22" s="45"/>
    </row>
    <row r="23" ht="21.75" customHeight="1">
      <c r="B23" s="39">
        <v>8</v>
      </c>
      <c r="C23" s="40" t="s">
        <v>43</v>
      </c>
      <c r="D23" s="41"/>
      <c r="E23" s="41"/>
      <c r="F23" s="41"/>
      <c r="G23" s="42">
        <v>45181</v>
      </c>
      <c r="H23" s="43">
        <f t="shared" si="0"/>
        <v>28834538</v>
      </c>
      <c r="I23" s="50">
        <v>28834538</v>
      </c>
      <c r="J23" s="41">
        <v>20</v>
      </c>
      <c r="K23" s="44"/>
      <c r="L23" s="41"/>
      <c r="M23" s="45"/>
      <c r="N23" s="43">
        <v>28834538</v>
      </c>
      <c r="O23" s="46"/>
      <c r="P23" s="47"/>
      <c r="Q23" s="48">
        <f t="shared" si="1"/>
        <v>28834538</v>
      </c>
      <c r="R23" s="43"/>
      <c r="S23" s="44"/>
      <c r="T23" s="44"/>
      <c r="U23" s="44"/>
      <c r="V23" s="49"/>
      <c r="W23" s="45"/>
    </row>
    <row r="24" ht="21.75" customHeight="1">
      <c r="B24" s="39">
        <v>9</v>
      </c>
      <c r="C24" s="40" t="s">
        <v>44</v>
      </c>
      <c r="D24" s="41"/>
      <c r="E24" s="41"/>
      <c r="F24" s="41"/>
      <c r="G24" s="42">
        <v>45224</v>
      </c>
      <c r="H24" s="43">
        <f t="shared" si="0"/>
        <v>20379486</v>
      </c>
      <c r="I24" s="50">
        <v>20379486</v>
      </c>
      <c r="J24" s="41">
        <v>19</v>
      </c>
      <c r="K24" s="44"/>
      <c r="L24" s="41"/>
      <c r="M24" s="45"/>
      <c r="N24" s="43">
        <v>20379486</v>
      </c>
      <c r="O24" s="46"/>
      <c r="P24" s="47"/>
      <c r="Q24" s="48">
        <f t="shared" si="1"/>
        <v>20379486</v>
      </c>
      <c r="R24" s="43"/>
      <c r="S24" s="44"/>
      <c r="T24" s="44"/>
      <c r="U24" s="44"/>
      <c r="V24" s="49"/>
      <c r="W24" s="45"/>
    </row>
    <row r="25" ht="21" customHeight="1">
      <c r="B25" s="39">
        <v>10</v>
      </c>
      <c r="C25" s="40" t="s">
        <v>45</v>
      </c>
      <c r="D25" s="41">
        <v>234622</v>
      </c>
      <c r="E25" s="41">
        <v>234640</v>
      </c>
      <c r="F25" s="41">
        <v>5285</v>
      </c>
      <c r="G25" s="42">
        <v>45234</v>
      </c>
      <c r="H25" s="43">
        <f t="shared" si="0"/>
        <v>47642005</v>
      </c>
      <c r="I25" s="44">
        <v>43630748</v>
      </c>
      <c r="J25" s="41">
        <v>19</v>
      </c>
      <c r="K25" s="44">
        <f>2976757+1009500</f>
        <v>3986257</v>
      </c>
      <c r="L25" s="41">
        <v>8</v>
      </c>
      <c r="M25" s="45">
        <v>25000</v>
      </c>
      <c r="N25" s="43">
        <v>43630748</v>
      </c>
      <c r="O25" s="46">
        <v>3986257</v>
      </c>
      <c r="P25" s="47">
        <v>25000</v>
      </c>
      <c r="Q25" s="48">
        <f t="shared" si="1"/>
        <v>47642005</v>
      </c>
      <c r="R25" s="43">
        <f>2976757+1009500+25000</f>
        <v>4011257</v>
      </c>
      <c r="S25" s="44">
        <f>1671375</f>
        <v>1671375</v>
      </c>
      <c r="T25" s="44"/>
      <c r="U25" s="44">
        <v>2600000</v>
      </c>
      <c r="V25" s="49"/>
      <c r="W25" s="45"/>
    </row>
    <row r="26" ht="21" customHeight="1">
      <c r="B26" s="39">
        <v>11</v>
      </c>
      <c r="C26" s="40" t="s">
        <v>46</v>
      </c>
      <c r="D26" s="41">
        <v>234641</v>
      </c>
      <c r="E26" s="41">
        <v>234655</v>
      </c>
      <c r="F26" s="41">
        <v>5286</v>
      </c>
      <c r="G26" s="42">
        <v>45276</v>
      </c>
      <c r="H26" s="43">
        <f t="shared" si="0"/>
        <v>19308000</v>
      </c>
      <c r="I26" s="44">
        <v>15183423</v>
      </c>
      <c r="J26" s="41">
        <v>15</v>
      </c>
      <c r="K26" s="44">
        <f>3478577+621000</f>
        <v>4099577</v>
      </c>
      <c r="L26" s="41">
        <v>9</v>
      </c>
      <c r="M26" s="45">
        <v>25000</v>
      </c>
      <c r="N26" s="43">
        <v>15183423</v>
      </c>
      <c r="O26" s="46">
        <v>4099577</v>
      </c>
      <c r="P26" s="47">
        <v>25000</v>
      </c>
      <c r="Q26" s="48">
        <f t="shared" si="1"/>
        <v>19308000</v>
      </c>
      <c r="R26" s="43">
        <f>3478577+621000+25000</f>
        <v>4124577</v>
      </c>
      <c r="S26" s="44">
        <v>1567155</v>
      </c>
      <c r="T26" s="44"/>
      <c r="U26" s="44">
        <v>8700000</v>
      </c>
      <c r="V26" s="49"/>
      <c r="W26" s="45"/>
    </row>
    <row r="27" ht="21.75" customHeight="1">
      <c r="B27" s="51">
        <v>12</v>
      </c>
      <c r="C27" s="52" t="s">
        <v>47</v>
      </c>
      <c r="D27" s="53">
        <v>240206</v>
      </c>
      <c r="E27" s="53">
        <v>240220</v>
      </c>
      <c r="F27" s="53">
        <v>5287</v>
      </c>
      <c r="G27" s="54">
        <v>45307</v>
      </c>
      <c r="H27" s="55">
        <f t="shared" si="0"/>
        <v>21225898</v>
      </c>
      <c r="I27" s="56">
        <v>16651598</v>
      </c>
      <c r="J27" s="57">
        <v>15</v>
      </c>
      <c r="K27" s="56">
        <f>3739300+785000</f>
        <v>4524300</v>
      </c>
      <c r="L27" s="57">
        <v>8</v>
      </c>
      <c r="M27" s="58">
        <v>50000</v>
      </c>
      <c r="N27" s="55">
        <v>16651598</v>
      </c>
      <c r="O27" s="59">
        <v>4524300</v>
      </c>
      <c r="P27" s="60">
        <v>50000</v>
      </c>
      <c r="Q27" s="61">
        <f t="shared" si="1"/>
        <v>21225898</v>
      </c>
      <c r="R27" s="55">
        <f>3739300+785000+50000</f>
        <v>4574300</v>
      </c>
      <c r="S27" s="56">
        <f>1482800+605000+247000+605000</f>
        <v>2939800</v>
      </c>
      <c r="T27" s="56"/>
      <c r="U27" s="56">
        <v>1005000</v>
      </c>
      <c r="V27" s="62"/>
      <c r="W27" s="58"/>
    </row>
    <row r="28">
      <c r="E28" s="2"/>
      <c r="F28" s="2"/>
      <c r="G28" s="9"/>
      <c r="J28" s="2"/>
      <c r="L28" s="2"/>
      <c r="Q28" s="63">
        <f>SUM(Q16:Q27)</f>
        <v>282835629</v>
      </c>
    </row>
    <row r="29" s="64" customFormat="1" ht="22.5" customHeight="1">
      <c r="B29" s="65"/>
      <c r="D29" s="64" t="s">
        <v>48</v>
      </c>
      <c r="G29" s="66" t="s">
        <v>28</v>
      </c>
      <c r="H29" s="67">
        <f>SUM(H16:H27)</f>
        <v>282835629</v>
      </c>
      <c r="I29" s="68">
        <f>SUM(I14:I27)</f>
        <v>247996055</v>
      </c>
      <c r="J29" s="68"/>
      <c r="K29" s="68">
        <f>SUM(K14:K27)</f>
        <v>34564574</v>
      </c>
      <c r="L29" s="68"/>
      <c r="M29" s="68">
        <f>SUM(M14:M27)</f>
        <v>275000</v>
      </c>
      <c r="N29" s="68">
        <f>SUM(N16:N28)</f>
        <v>247996055</v>
      </c>
      <c r="O29" s="68">
        <f>SUM(O16:O27)</f>
        <v>34564574</v>
      </c>
      <c r="P29" s="68">
        <f>SUM(P16:P27)</f>
        <v>275000</v>
      </c>
      <c r="Q29" s="37" t="str">
        <f>IF(N29=I29,"Sama","Kurang Bayar")</f>
        <v>Sama</v>
      </c>
      <c r="R29" s="68">
        <f t="shared" ref="R29:W29" si="2">SUM(R14:R27)</f>
        <v>31593074</v>
      </c>
      <c r="S29" s="68">
        <f t="shared" si="2"/>
        <v>23434705</v>
      </c>
      <c r="T29" s="68">
        <f t="shared" si="2"/>
        <v>0</v>
      </c>
      <c r="U29" s="68">
        <f t="shared" si="2"/>
        <v>16277000</v>
      </c>
      <c r="V29" s="68">
        <f t="shared" si="2"/>
        <v>0</v>
      </c>
      <c r="W29" s="68">
        <f t="shared" si="2"/>
        <v>0</v>
      </c>
    </row>
    <row r="30" ht="22.5" customHeight="1">
      <c r="G30" s="64" t="s">
        <v>49</v>
      </c>
      <c r="H30" s="64"/>
      <c r="J30" s="65">
        <f>SUM(J16:J27)</f>
        <v>222</v>
      </c>
      <c r="L30" s="65">
        <f>SUM(L16:L27)</f>
        <v>71</v>
      </c>
      <c r="Q30" s="69" t="str">
        <f>IF(O29+P29=K29+M29,"Sama","Kurang Bayar")</f>
        <v>Sama</v>
      </c>
    </row>
    <row r="33" ht="16.5">
      <c r="B33" s="9"/>
      <c r="G33" s="10"/>
      <c r="Q33" s="70">
        <f>I29-N29</f>
        <v>0</v>
      </c>
      <c r="T33" s="13"/>
      <c r="U33" s="13"/>
      <c r="V33" s="13"/>
    </row>
    <row r="34" ht="16.5">
      <c r="B34" s="9"/>
      <c r="C34" s="71" t="s">
        <v>50</v>
      </c>
      <c r="D34" s="1" t="s">
        <v>51</v>
      </c>
      <c r="G34" s="10"/>
      <c r="Q34" s="70">
        <f>K29-O29</f>
        <v>0</v>
      </c>
      <c r="T34" s="14"/>
      <c r="U34" s="14"/>
      <c r="V34" s="14"/>
    </row>
    <row r="35" ht="15">
      <c r="B35" s="26"/>
      <c r="C35" s="71" t="s">
        <v>52</v>
      </c>
      <c r="D35" s="1" t="s">
        <v>53</v>
      </c>
      <c r="E35" s="26"/>
      <c r="F35" s="26"/>
      <c r="G35" s="26"/>
      <c r="H35" s="65"/>
      <c r="I35" s="65"/>
      <c r="J35" s="65"/>
      <c r="K35" s="65"/>
      <c r="L35" s="65"/>
      <c r="M35" s="65"/>
      <c r="N35" s="64"/>
      <c r="O35" s="64"/>
      <c r="P35" s="64"/>
      <c r="Q35" s="72">
        <f>M29-P29</f>
        <v>0</v>
      </c>
      <c r="R35" s="73"/>
      <c r="S35" s="73"/>
      <c r="T35" s="73"/>
      <c r="U35" s="73"/>
      <c r="V35" s="73"/>
      <c r="W35" s="73"/>
    </row>
    <row r="36">
      <c r="C36" s="71" t="s">
        <v>54</v>
      </c>
      <c r="D36" s="1" t="s">
        <v>55</v>
      </c>
      <c r="E36" s="2"/>
      <c r="F36" s="2"/>
      <c r="G36" s="9"/>
      <c r="H36" s="74"/>
      <c r="I36" s="74"/>
      <c r="J36" s="2"/>
      <c r="K36" s="74"/>
      <c r="L36" s="2"/>
      <c r="M36" s="74"/>
      <c r="Q36" s="72">
        <f>SUM(Q33:Q35)</f>
        <v>0</v>
      </c>
      <c r="R36" s="74"/>
      <c r="S36" s="74"/>
      <c r="T36" s="74"/>
      <c r="U36" s="74"/>
      <c r="V36" s="74"/>
      <c r="W36" s="74"/>
    </row>
    <row r="37">
      <c r="C37" s="71" t="s">
        <v>56</v>
      </c>
      <c r="D37" s="75" t="s">
        <v>57</v>
      </c>
      <c r="E37" s="2"/>
      <c r="F37" s="2"/>
      <c r="G37" s="9"/>
      <c r="H37" s="74"/>
      <c r="I37" s="74"/>
      <c r="J37" s="2"/>
      <c r="K37" s="74"/>
      <c r="L37" s="2"/>
      <c r="M37" s="74"/>
      <c r="R37" s="74"/>
      <c r="S37" s="74"/>
      <c r="T37" s="74"/>
      <c r="U37" s="74"/>
      <c r="V37" s="74"/>
      <c r="W37" s="74"/>
    </row>
    <row r="38">
      <c r="D38" s="75"/>
      <c r="E38" s="2"/>
      <c r="F38" s="2"/>
      <c r="G38" s="9"/>
      <c r="H38" s="74"/>
      <c r="I38" s="74"/>
      <c r="J38" s="2"/>
      <c r="K38" s="74"/>
      <c r="L38" s="2"/>
      <c r="M38" s="74"/>
      <c r="R38" s="74"/>
      <c r="S38" s="74"/>
      <c r="T38" s="74"/>
      <c r="U38" s="74"/>
      <c r="V38" s="74"/>
      <c r="W38" s="74"/>
    </row>
    <row r="39">
      <c r="E39" s="2"/>
      <c r="F39" s="2"/>
      <c r="G39" s="9"/>
      <c r="H39" s="74"/>
      <c r="I39" s="74"/>
      <c r="J39" s="2"/>
      <c r="K39" s="74"/>
      <c r="L39" s="2"/>
      <c r="M39" s="74"/>
      <c r="R39" s="74"/>
      <c r="S39" s="74"/>
      <c r="T39" s="74"/>
      <c r="U39" s="74"/>
      <c r="V39" s="74"/>
      <c r="W39" s="74"/>
    </row>
  </sheetData>
  <mergeCells count="14">
    <mergeCell ref="B4:W4"/>
    <mergeCell ref="B5:W5"/>
    <mergeCell ref="B6:W6"/>
    <mergeCell ref="B7:W7"/>
    <mergeCell ref="B12:B13"/>
    <mergeCell ref="C12:C13"/>
    <mergeCell ref="D12:E12"/>
    <mergeCell ref="F12:F13"/>
    <mergeCell ref="G12:G13"/>
    <mergeCell ref="H12:M12"/>
    <mergeCell ref="N12:Q12"/>
    <mergeCell ref="R12:W12"/>
    <mergeCell ref="H35:M35"/>
    <mergeCell ref="R35:W35"/>
  </mergeCells>
  <printOptions headings="0" gridLines="0"/>
  <pageMargins left="0.11811023622047245" right="0" top="0.74803149606299213" bottom="0.35433070866141736" header="0.31496062992125984" footer="0.31496062992125984"/>
  <pageSetup paperSize="9" scale="6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text="Kurang Bayar" id="{ACD5D9A5-8D1F-405C-A4C2-92AF86864B2A}">
            <xm:f>NOT(ISERROR(SEARCH("Kurang Bayar",Q12)))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Q12 Q14:Q32</xm:sqref>
        </x14:conditionalFormatting>
        <x14:conditionalFormatting xmlns:xm="http://schemas.microsoft.com/office/excel/2006/main">
          <x14:cfRule type="containsText" priority="10" operator="containsText" text="Kurang Bayar" id="{08D45F16-068E-4EBB-8CEF-59E16D6688AA}">
            <xm:f>NOT(ISERROR(SEARCH("Kurang Bayar",Q35)))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Q35:Q1048576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ColWidth="9.140625" defaultRowHeight="14.25"/>
  <cols>
    <col customWidth="1" min="1" max="1" style="76" width="4.7109375"/>
    <col customWidth="1" min="2" max="2" style="76" width="3.42578125"/>
    <col customWidth="1" min="3" max="3" style="76" width="48"/>
    <col customWidth="1" min="4" max="4" style="76" width="1.85546875"/>
    <col customWidth="1" min="5" max="5" style="76" width="19"/>
    <col customWidth="1" min="6" max="6" style="77" width="22.5703125"/>
    <col customWidth="1" min="7" max="7" style="77" width="2.28515625"/>
    <col customWidth="1" min="8" max="8" style="77" width="17.28515625"/>
    <col customWidth="1" min="9" max="9" style="77" width="20.28515625"/>
    <col min="10" max="12" style="76" width="9.140625"/>
    <col customWidth="1" hidden="1" min="13" max="13" style="76" width="27.5703125"/>
    <col min="14" max="16384" style="76" width="9.140625"/>
  </cols>
  <sheetData>
    <row r="2" ht="52.899999999999999" customHeight="1">
      <c r="B2" s="78" t="s">
        <v>58</v>
      </c>
      <c r="C2" s="78"/>
      <c r="D2" s="78"/>
      <c r="E2" s="78"/>
      <c r="F2" s="78"/>
      <c r="G2" s="78"/>
      <c r="H2" s="78"/>
      <c r="I2" s="78"/>
    </row>
    <row r="4" s="0" customFormat="1" ht="24" customHeight="1">
      <c r="A4" s="79"/>
      <c r="B4" s="80" t="s">
        <v>59</v>
      </c>
      <c r="C4" s="80"/>
      <c r="D4" s="80"/>
      <c r="E4" s="80"/>
      <c r="F4" s="80"/>
      <c r="G4" s="80"/>
      <c r="H4" s="80" t="s">
        <v>60</v>
      </c>
      <c r="I4" s="80"/>
      <c r="J4" s="76"/>
      <c r="K4" s="76"/>
    </row>
    <row r="5" s="0" customFormat="1" ht="24" customHeight="1">
      <c r="A5" s="79"/>
      <c r="B5" s="76"/>
      <c r="C5" s="81" t="s">
        <v>61</v>
      </c>
      <c r="D5" s="76"/>
      <c r="E5" s="82">
        <f>H45+H103+H161+H219+H277+H335+H393+H451+H509+H567+H625+H683</f>
        <v>0</v>
      </c>
      <c r="F5" s="82"/>
      <c r="G5" s="77"/>
      <c r="H5" s="83">
        <f>SUM(E5:E9)</f>
        <v>0</v>
      </c>
      <c r="I5" s="83"/>
      <c r="J5" s="76"/>
      <c r="K5" s="76"/>
    </row>
    <row r="6" s="0" customFormat="1" ht="24" customHeight="1">
      <c r="A6" s="79"/>
      <c r="B6" s="76"/>
      <c r="C6" s="81" t="s">
        <v>62</v>
      </c>
      <c r="D6" s="76"/>
      <c r="E6" s="82">
        <f>H50+H108+H166+H224+H282+H340+H398+H456+H514+H572+H630+H688</f>
        <v>0</v>
      </c>
      <c r="F6" s="82"/>
      <c r="G6" s="77"/>
      <c r="H6" s="83"/>
      <c r="I6" s="83"/>
      <c r="J6" s="76"/>
      <c r="K6" s="76"/>
    </row>
    <row r="7" s="0" customFormat="1" ht="24" customHeight="1">
      <c r="A7" s="79"/>
      <c r="B7" s="76"/>
      <c r="C7" s="81" t="s">
        <v>63</v>
      </c>
      <c r="D7" s="76"/>
      <c r="E7" s="82">
        <f>H55+H113+H171+H229+H287+H345+H403+H461+H519+H577+H635+H693</f>
        <v>0</v>
      </c>
      <c r="F7" s="82"/>
      <c r="G7" s="77"/>
      <c r="H7" s="83"/>
      <c r="I7" s="83"/>
      <c r="J7" s="76"/>
      <c r="K7" s="76"/>
    </row>
    <row r="8" s="0" customFormat="1" ht="24" customHeight="1">
      <c r="A8" s="79"/>
      <c r="B8" s="76"/>
      <c r="C8" s="81" t="s">
        <v>64</v>
      </c>
      <c r="D8" s="76"/>
      <c r="E8" s="82">
        <f>H60+H118+H176+H234+H292+H350+H408+H466+H524+H582+H640+H698</f>
        <v>0</v>
      </c>
      <c r="F8" s="82"/>
      <c r="G8" s="77"/>
      <c r="H8" s="83"/>
      <c r="I8" s="83"/>
      <c r="J8" s="76"/>
      <c r="K8" s="76"/>
    </row>
    <row r="9" s="0" customFormat="1" ht="24" customHeight="1">
      <c r="A9" s="79"/>
      <c r="B9" s="76"/>
      <c r="C9" s="81" t="s">
        <v>65</v>
      </c>
      <c r="D9" s="76"/>
      <c r="E9" s="82">
        <f>H65+H123+H181+H239+H297+H355+H413+H471+H529+H587+H645+H703</f>
        <v>0</v>
      </c>
      <c r="F9" s="82"/>
      <c r="G9" s="77"/>
      <c r="H9" s="83"/>
      <c r="I9" s="83"/>
      <c r="J9" s="76"/>
      <c r="K9" s="76"/>
    </row>
    <row r="10" s="0" customFormat="1" ht="7.9000000000000004" customHeight="1">
      <c r="A10" s="79"/>
      <c r="B10" s="76"/>
      <c r="C10" s="76"/>
      <c r="D10" s="76"/>
      <c r="E10" s="76"/>
      <c r="F10" s="77"/>
      <c r="G10" s="77"/>
      <c r="H10" s="79"/>
      <c r="I10" s="76"/>
      <c r="J10" s="76"/>
      <c r="K10" s="76"/>
    </row>
    <row r="11" s="0" customFormat="1" ht="24" customHeight="1">
      <c r="A11" s="79"/>
      <c r="B11" s="84" t="s">
        <v>66</v>
      </c>
      <c r="C11" s="85"/>
      <c r="D11" s="76"/>
      <c r="E11" s="86">
        <v>44927</v>
      </c>
      <c r="F11" s="86"/>
      <c r="G11" s="77"/>
      <c r="H11" s="86">
        <v>45291</v>
      </c>
      <c r="I11" s="86"/>
      <c r="J11" s="76"/>
      <c r="K11" s="76"/>
    </row>
    <row r="12" s="0" customFormat="1" ht="24" customHeight="1">
      <c r="A12" s="79"/>
      <c r="B12" s="84"/>
      <c r="C12" s="85"/>
      <c r="D12" s="76"/>
      <c r="E12" s="87" t="s">
        <v>67</v>
      </c>
      <c r="F12" s="87"/>
      <c r="G12" s="77"/>
      <c r="H12" s="87" t="s">
        <v>68</v>
      </c>
      <c r="I12" s="87"/>
      <c r="J12" s="76"/>
      <c r="K12" s="76"/>
    </row>
    <row r="16" ht="28.899999999999999" customHeight="1">
      <c r="B16" s="88" t="str">
        <f>'Rec.Data System-IN'!D10</f>
        <v xml:space="preserve">CIBINONG KOTA</v>
      </c>
      <c r="C16" s="89"/>
      <c r="D16" s="89"/>
      <c r="E16" s="89"/>
      <c r="F16" s="89"/>
      <c r="G16" s="89"/>
      <c r="H16" s="89"/>
      <c r="I16" s="89"/>
    </row>
    <row r="17" ht="21.75">
      <c r="B17" s="90" t="s">
        <v>69</v>
      </c>
      <c r="C17" s="90"/>
      <c r="D17" s="90"/>
      <c r="E17" s="90"/>
      <c r="F17" s="90"/>
      <c r="G17" s="90"/>
      <c r="H17" s="90"/>
      <c r="I17" s="91"/>
    </row>
    <row r="18" ht="21.75">
      <c r="B18" s="86" t="s">
        <v>70</v>
      </c>
      <c r="C18" s="86"/>
      <c r="D18" s="86"/>
      <c r="E18" s="86"/>
      <c r="F18" s="86"/>
      <c r="G18" s="86"/>
      <c r="H18" s="86"/>
      <c r="I18" s="92"/>
    </row>
    <row r="20" ht="21.75">
      <c r="B20" s="93"/>
      <c r="C20" s="94" t="s">
        <v>71</v>
      </c>
      <c r="D20" s="94"/>
      <c r="E20" s="94"/>
      <c r="F20" s="94"/>
      <c r="G20" s="94"/>
      <c r="H20" s="94"/>
      <c r="I20" s="95"/>
      <c r="M20" s="76" t="s">
        <v>72</v>
      </c>
    </row>
    <row r="21">
      <c r="B21" s="96"/>
      <c r="I21" s="97"/>
      <c r="M21" s="76" t="s">
        <v>73</v>
      </c>
    </row>
    <row r="22" ht="21.75">
      <c r="B22" s="98"/>
      <c r="C22" s="99" t="s">
        <v>74</v>
      </c>
      <c r="D22" s="100"/>
      <c r="E22" s="100"/>
      <c r="F22" s="101" t="s">
        <v>75</v>
      </c>
      <c r="G22" s="101"/>
      <c r="H22" s="101" t="s">
        <v>76</v>
      </c>
      <c r="I22" s="102" t="s">
        <v>28</v>
      </c>
      <c r="M22" s="76" t="s">
        <v>77</v>
      </c>
    </row>
    <row r="23">
      <c r="B23" s="96"/>
      <c r="I23" s="97"/>
      <c r="M23" s="76" t="s">
        <v>78</v>
      </c>
    </row>
    <row r="24">
      <c r="B24" s="96"/>
      <c r="C24" s="76" t="s">
        <v>79</v>
      </c>
      <c r="H24" s="77">
        <f>'Rec.Data System-IN'!R16</f>
        <v>3030688</v>
      </c>
      <c r="I24" s="97">
        <f t="shared" ref="I24:I30" si="3">F24+H24</f>
        <v>3030688</v>
      </c>
      <c r="M24" s="76" t="s">
        <v>80</v>
      </c>
    </row>
    <row r="25">
      <c r="B25" s="96"/>
      <c r="C25" s="76" t="s">
        <v>81</v>
      </c>
      <c r="H25" s="103">
        <f>'Rec.Data System-IN'!S16</f>
        <v>4950375</v>
      </c>
      <c r="I25" s="97">
        <f t="shared" si="3"/>
        <v>4950375</v>
      </c>
      <c r="M25" s="76" t="s">
        <v>82</v>
      </c>
    </row>
    <row r="26" ht="25.5" customHeight="1">
      <c r="B26" s="96"/>
      <c r="C26" s="65" t="s">
        <v>83</v>
      </c>
      <c r="F26" s="77">
        <v>0</v>
      </c>
      <c r="H26" s="77">
        <f>SUM(H24:H25)</f>
        <v>7981063</v>
      </c>
      <c r="I26" s="97">
        <f t="shared" si="3"/>
        <v>7981063</v>
      </c>
      <c r="M26" s="76" t="s">
        <v>84</v>
      </c>
    </row>
    <row r="27">
      <c r="B27" s="96"/>
      <c r="C27" s="76" t="s">
        <v>31</v>
      </c>
      <c r="F27" s="77">
        <v>0</v>
      </c>
      <c r="H27" s="77">
        <f>'Rec.Data System-IN'!T16</f>
        <v>0</v>
      </c>
      <c r="I27" s="97">
        <f t="shared" si="3"/>
        <v>0</v>
      </c>
      <c r="M27" s="76" t="s">
        <v>85</v>
      </c>
    </row>
    <row r="28">
      <c r="B28" s="96"/>
      <c r="C28" s="76" t="s">
        <v>32</v>
      </c>
      <c r="F28" s="77">
        <v>0</v>
      </c>
      <c r="H28" s="77">
        <f>'Rec.Data System-IN'!U16</f>
        <v>1106000</v>
      </c>
      <c r="I28" s="97">
        <f t="shared" si="3"/>
        <v>1106000</v>
      </c>
      <c r="M28" s="76" t="s">
        <v>86</v>
      </c>
    </row>
    <row r="29">
      <c r="B29" s="96"/>
      <c r="C29" s="76" t="s">
        <v>33</v>
      </c>
      <c r="F29" s="77">
        <v>0</v>
      </c>
      <c r="H29" s="77">
        <f>'Rec.Data System-IN'!V16</f>
        <v>0</v>
      </c>
      <c r="I29" s="97">
        <f t="shared" si="3"/>
        <v>0</v>
      </c>
      <c r="M29" s="76" t="s">
        <v>87</v>
      </c>
    </row>
    <row r="30">
      <c r="B30" s="96"/>
      <c r="C30" s="76" t="s">
        <v>34</v>
      </c>
      <c r="F30" s="103">
        <v>0</v>
      </c>
      <c r="H30" s="77">
        <f>'Rec.Data System-IN'!W16</f>
        <v>0</v>
      </c>
      <c r="I30" s="97">
        <f t="shared" si="3"/>
        <v>0</v>
      </c>
      <c r="M30" s="76" t="s">
        <v>88</v>
      </c>
    </row>
    <row r="31">
      <c r="B31" s="96"/>
      <c r="I31" s="97"/>
      <c r="M31" s="76" t="s">
        <v>89</v>
      </c>
    </row>
    <row r="32" ht="15.75">
      <c r="B32" s="96"/>
      <c r="C32" s="76" t="s">
        <v>90</v>
      </c>
      <c r="I32" s="104">
        <f>SUM(I26:I30)</f>
        <v>9087063</v>
      </c>
      <c r="M32" s="76" t="s">
        <v>91</v>
      </c>
    </row>
    <row r="33" ht="15">
      <c r="B33" s="96"/>
      <c r="I33" s="97"/>
      <c r="M33" s="76" t="s">
        <v>92</v>
      </c>
    </row>
    <row r="34" ht="21.75">
      <c r="B34" s="105"/>
      <c r="C34" s="106" t="s">
        <v>93</v>
      </c>
      <c r="D34" s="106"/>
      <c r="E34" s="106"/>
      <c r="F34" s="106"/>
      <c r="G34" s="106"/>
      <c r="H34" s="106"/>
      <c r="I34" s="107"/>
      <c r="M34" s="76" t="s">
        <v>94</v>
      </c>
    </row>
    <row r="35">
      <c r="B35" s="96"/>
      <c r="F35" s="76"/>
      <c r="H35" s="76"/>
      <c r="I35" s="97"/>
      <c r="M35" s="76" t="s">
        <v>95</v>
      </c>
    </row>
    <row r="36" ht="21.75">
      <c r="B36" s="98"/>
      <c r="C36" s="99" t="s">
        <v>96</v>
      </c>
      <c r="D36" s="100"/>
      <c r="E36" s="99" t="s">
        <v>97</v>
      </c>
      <c r="F36" s="108" t="s">
        <v>98</v>
      </c>
      <c r="G36" s="101"/>
      <c r="H36" s="101"/>
      <c r="I36" s="102"/>
      <c r="M36" s="76" t="s">
        <v>99</v>
      </c>
    </row>
    <row r="37">
      <c r="B37" s="109"/>
      <c r="F37" s="76" t="s">
        <v>100</v>
      </c>
      <c r="H37" s="110"/>
      <c r="I37" s="97"/>
      <c r="M37" s="76" t="s">
        <v>101</v>
      </c>
    </row>
    <row r="38">
      <c r="B38" s="109"/>
      <c r="F38" s="76"/>
      <c r="H38" s="110"/>
      <c r="I38" s="97"/>
      <c r="M38" s="76" t="s">
        <v>102</v>
      </c>
    </row>
    <row r="39">
      <c r="B39" s="109">
        <v>1</v>
      </c>
      <c r="F39" s="76" t="s">
        <v>103</v>
      </c>
      <c r="G39" s="76"/>
      <c r="H39" s="111">
        <v>0</v>
      </c>
      <c r="I39" s="97"/>
      <c r="M39" s="76" t="s">
        <v>104</v>
      </c>
    </row>
    <row r="40">
      <c r="B40" s="109">
        <v>2</v>
      </c>
      <c r="F40" s="76" t="s">
        <v>103</v>
      </c>
      <c r="G40" s="76"/>
      <c r="H40" s="111">
        <v>0</v>
      </c>
      <c r="I40" s="97"/>
    </row>
    <row r="41">
      <c r="B41" s="109">
        <v>3</v>
      </c>
      <c r="F41" s="76" t="s">
        <v>103</v>
      </c>
      <c r="G41" s="76"/>
      <c r="H41" s="111">
        <v>0</v>
      </c>
      <c r="I41" s="97"/>
    </row>
    <row r="42">
      <c r="B42" s="109">
        <v>4</v>
      </c>
      <c r="F42" s="76" t="s">
        <v>103</v>
      </c>
      <c r="G42" s="76"/>
      <c r="H42" s="111">
        <v>0</v>
      </c>
      <c r="I42" s="97"/>
    </row>
    <row r="43">
      <c r="B43" s="109">
        <v>5</v>
      </c>
      <c r="F43" s="76" t="s">
        <v>103</v>
      </c>
      <c r="G43" s="76"/>
      <c r="H43" s="111">
        <v>0</v>
      </c>
      <c r="I43" s="97"/>
    </row>
    <row r="44" ht="16.5">
      <c r="B44" s="109">
        <v>6</v>
      </c>
      <c r="F44" s="76" t="s">
        <v>103</v>
      </c>
      <c r="G44" s="76"/>
      <c r="H44" s="112">
        <v>0</v>
      </c>
      <c r="I44" s="97"/>
      <c r="M44" s="76" t="s">
        <v>105</v>
      </c>
      <c r="N44" s="77"/>
      <c r="O44" s="77"/>
    </row>
    <row r="45">
      <c r="B45" s="109"/>
      <c r="C45" s="113" t="s">
        <v>106</v>
      </c>
      <c r="F45" s="76"/>
      <c r="G45" s="76"/>
      <c r="H45" s="111">
        <f>SUM(H39:H44)</f>
        <v>0</v>
      </c>
      <c r="I45" s="97">
        <f>I26-H45</f>
        <v>7981063</v>
      </c>
      <c r="M45" s="76" t="s">
        <v>107</v>
      </c>
      <c r="N45" s="77"/>
      <c r="O45" s="77"/>
    </row>
    <row r="46">
      <c r="B46" s="109">
        <v>1</v>
      </c>
      <c r="F46" s="76" t="s">
        <v>31</v>
      </c>
      <c r="G46" s="76"/>
      <c r="H46" s="111">
        <v>0</v>
      </c>
      <c r="I46" s="97"/>
      <c r="M46" s="76" t="s">
        <v>108</v>
      </c>
      <c r="N46" s="77"/>
      <c r="O46" s="77"/>
    </row>
    <row r="47">
      <c r="B47" s="109">
        <v>2</v>
      </c>
      <c r="F47" s="76" t="s">
        <v>31</v>
      </c>
      <c r="G47" s="76"/>
      <c r="H47" s="111">
        <v>0</v>
      </c>
      <c r="I47" s="97"/>
      <c r="M47" s="76" t="s">
        <v>109</v>
      </c>
      <c r="N47" s="77"/>
      <c r="O47" s="77"/>
    </row>
    <row r="48">
      <c r="B48" s="109">
        <v>3</v>
      </c>
      <c r="F48" s="76" t="s">
        <v>31</v>
      </c>
      <c r="G48" s="76"/>
      <c r="H48" s="111">
        <v>0</v>
      </c>
      <c r="I48" s="97"/>
      <c r="M48" s="76" t="s">
        <v>110</v>
      </c>
      <c r="N48" s="77"/>
      <c r="O48" s="77"/>
    </row>
    <row r="49" ht="16.5">
      <c r="B49" s="109">
        <v>4</v>
      </c>
      <c r="F49" s="76" t="s">
        <v>31</v>
      </c>
      <c r="G49" s="76"/>
      <c r="H49" s="112">
        <v>0</v>
      </c>
      <c r="I49" s="97"/>
      <c r="M49" s="76" t="s">
        <v>111</v>
      </c>
      <c r="N49" s="77"/>
      <c r="O49" s="77"/>
    </row>
    <row r="50">
      <c r="B50" s="109"/>
      <c r="C50" s="113" t="s">
        <v>112</v>
      </c>
      <c r="F50" s="76"/>
      <c r="G50" s="76"/>
      <c r="H50" s="111">
        <f>SUM(H46:H49)</f>
        <v>0</v>
      </c>
      <c r="I50" s="97">
        <f>I27-H50</f>
        <v>0</v>
      </c>
      <c r="M50" s="76" t="s">
        <v>113</v>
      </c>
      <c r="N50" s="77"/>
      <c r="O50" s="77"/>
    </row>
    <row r="51">
      <c r="B51" s="109">
        <v>1</v>
      </c>
      <c r="F51" s="76" t="s">
        <v>32</v>
      </c>
      <c r="G51" s="76"/>
      <c r="H51" s="111">
        <v>0</v>
      </c>
      <c r="I51" s="97"/>
      <c r="M51" s="76" t="s">
        <v>114</v>
      </c>
      <c r="N51" s="77"/>
      <c r="O51" s="77"/>
    </row>
    <row r="52">
      <c r="B52" s="109">
        <v>2</v>
      </c>
      <c r="F52" s="76" t="s">
        <v>32</v>
      </c>
      <c r="G52" s="76"/>
      <c r="H52" s="111">
        <v>0</v>
      </c>
      <c r="I52" s="97"/>
      <c r="M52" s="76" t="s">
        <v>115</v>
      </c>
      <c r="N52" s="77"/>
      <c r="O52" s="77"/>
    </row>
    <row r="53">
      <c r="B53" s="109">
        <v>3</v>
      </c>
      <c r="F53" s="76" t="s">
        <v>32</v>
      </c>
      <c r="G53" s="76"/>
      <c r="H53" s="111">
        <v>0</v>
      </c>
      <c r="I53" s="97"/>
      <c r="N53" s="77"/>
      <c r="O53" s="77"/>
    </row>
    <row r="54" ht="16.5">
      <c r="B54" s="109">
        <v>4</v>
      </c>
      <c r="F54" s="76" t="s">
        <v>32</v>
      </c>
      <c r="G54" s="76"/>
      <c r="H54" s="112">
        <v>0</v>
      </c>
      <c r="I54" s="97"/>
      <c r="N54" s="77"/>
      <c r="O54" s="77"/>
    </row>
    <row r="55">
      <c r="B55" s="109"/>
      <c r="C55" s="113" t="s">
        <v>116</v>
      </c>
      <c r="F55" s="76"/>
      <c r="G55" s="76"/>
      <c r="H55" s="111">
        <f>SUM(H51:H54)</f>
        <v>0</v>
      </c>
      <c r="I55" s="97">
        <f>I28-H55</f>
        <v>1106000</v>
      </c>
      <c r="N55" s="77"/>
      <c r="O55" s="77"/>
    </row>
    <row r="56">
      <c r="B56" s="109">
        <v>1</v>
      </c>
      <c r="F56" s="76" t="s">
        <v>33</v>
      </c>
      <c r="G56" s="76"/>
      <c r="H56" s="111">
        <v>0</v>
      </c>
      <c r="I56" s="97"/>
      <c r="N56" s="77"/>
      <c r="O56" s="77"/>
    </row>
    <row r="57">
      <c r="B57" s="109">
        <v>2</v>
      </c>
      <c r="F57" s="76" t="s">
        <v>33</v>
      </c>
      <c r="G57" s="76"/>
      <c r="H57" s="111">
        <v>0</v>
      </c>
      <c r="I57" s="97"/>
      <c r="N57" s="77"/>
      <c r="O57" s="77"/>
    </row>
    <row r="58">
      <c r="B58" s="109">
        <v>3</v>
      </c>
      <c r="F58" s="76" t="s">
        <v>33</v>
      </c>
      <c r="G58" s="76"/>
      <c r="H58" s="111">
        <v>0</v>
      </c>
      <c r="I58" s="97"/>
      <c r="N58" s="77"/>
      <c r="O58" s="77"/>
    </row>
    <row r="59" ht="16.5">
      <c r="B59" s="109">
        <v>4</v>
      </c>
      <c r="F59" s="76" t="s">
        <v>33</v>
      </c>
      <c r="G59" s="76"/>
      <c r="H59" s="112">
        <v>0</v>
      </c>
      <c r="I59" s="97"/>
      <c r="N59" s="77"/>
      <c r="O59" s="77"/>
    </row>
    <row r="60">
      <c r="B60" s="109"/>
      <c r="C60" s="113" t="s">
        <v>117</v>
      </c>
      <c r="F60" s="76"/>
      <c r="G60" s="76"/>
      <c r="H60" s="111">
        <f>SUM(H56:H59)</f>
        <v>0</v>
      </c>
      <c r="I60" s="97">
        <f>I29-H60</f>
        <v>0</v>
      </c>
      <c r="N60" s="77"/>
      <c r="O60" s="77"/>
    </row>
    <row r="61">
      <c r="B61" s="109">
        <v>1</v>
      </c>
      <c r="F61" s="76" t="s">
        <v>118</v>
      </c>
      <c r="G61" s="76"/>
      <c r="H61" s="111">
        <v>0</v>
      </c>
      <c r="I61" s="97"/>
      <c r="N61" s="77"/>
      <c r="O61" s="77"/>
    </row>
    <row r="62">
      <c r="B62" s="109">
        <v>2</v>
      </c>
      <c r="F62" s="76" t="s">
        <v>118</v>
      </c>
      <c r="G62" s="76"/>
      <c r="H62" s="111">
        <v>0</v>
      </c>
      <c r="I62" s="97"/>
      <c r="N62" s="77"/>
      <c r="O62" s="77"/>
    </row>
    <row r="63">
      <c r="B63" s="109">
        <v>3</v>
      </c>
      <c r="F63" s="76" t="s">
        <v>118</v>
      </c>
      <c r="G63" s="76"/>
      <c r="H63" s="111">
        <v>0</v>
      </c>
      <c r="I63" s="97"/>
      <c r="M63" s="76" t="s">
        <v>119</v>
      </c>
      <c r="N63" s="77"/>
      <c r="O63" s="77"/>
    </row>
    <row r="64" ht="16.5">
      <c r="B64" s="109">
        <v>4</v>
      </c>
      <c r="F64" s="76" t="s">
        <v>118</v>
      </c>
      <c r="G64" s="76"/>
      <c r="H64" s="112">
        <v>0</v>
      </c>
      <c r="I64" s="97"/>
      <c r="M64" s="76" t="s">
        <v>120</v>
      </c>
      <c r="N64" s="77"/>
      <c r="O64" s="77"/>
    </row>
    <row r="65">
      <c r="B65" s="109"/>
      <c r="C65" s="113" t="s">
        <v>121</v>
      </c>
      <c r="F65" s="76"/>
      <c r="G65" s="76"/>
      <c r="H65" s="111">
        <f>SUM(H61:H64)</f>
        <v>0</v>
      </c>
      <c r="I65" s="97">
        <f>I30-H65</f>
        <v>0</v>
      </c>
      <c r="N65" s="77"/>
      <c r="O65" s="77"/>
    </row>
    <row r="66">
      <c r="B66" s="96"/>
      <c r="I66" s="97"/>
    </row>
    <row r="67" ht="15">
      <c r="B67" s="96"/>
      <c r="C67" s="76" t="s">
        <v>122</v>
      </c>
      <c r="H67" s="114">
        <f>H45+H50+H55+H60+H65</f>
        <v>0</v>
      </c>
      <c r="I67" s="115"/>
    </row>
    <row r="68">
      <c r="B68" s="96"/>
      <c r="I68" s="97"/>
    </row>
    <row r="69" ht="15">
      <c r="B69" s="96"/>
      <c r="C69" s="76" t="s">
        <v>123</v>
      </c>
      <c r="H69" s="76"/>
      <c r="I69" s="116">
        <f>I32-H67</f>
        <v>9087063</v>
      </c>
    </row>
    <row r="70">
      <c r="B70" s="117"/>
      <c r="C70" s="118"/>
      <c r="D70" s="118"/>
      <c r="E70" s="118"/>
      <c r="F70" s="119"/>
      <c r="G70" s="119"/>
      <c r="H70" s="119"/>
      <c r="I70" s="120"/>
    </row>
    <row r="74" ht="28.899999999999999" customHeight="1">
      <c r="B74" s="88" t="str">
        <f>B16</f>
        <v xml:space="preserve">CIBINONG KOTA</v>
      </c>
      <c r="C74" s="89"/>
      <c r="D74" s="89"/>
      <c r="E74" s="89"/>
      <c r="F74" s="89"/>
      <c r="G74" s="89"/>
      <c r="H74" s="89"/>
      <c r="I74" s="89"/>
    </row>
    <row r="75" ht="21.75">
      <c r="B75" s="90" t="s">
        <v>69</v>
      </c>
      <c r="C75" s="90"/>
      <c r="D75" s="90"/>
      <c r="E75" s="90"/>
      <c r="F75" s="90"/>
      <c r="G75" s="90"/>
      <c r="H75" s="90"/>
      <c r="I75" s="91"/>
    </row>
    <row r="76" ht="21.75">
      <c r="B76" s="86" t="s">
        <v>124</v>
      </c>
      <c r="C76" s="86"/>
      <c r="D76" s="86"/>
      <c r="E76" s="86"/>
      <c r="F76" s="86"/>
      <c r="G76" s="86"/>
      <c r="H76" s="86"/>
      <c r="I76" s="92"/>
    </row>
    <row r="78" ht="21.75">
      <c r="B78" s="93"/>
      <c r="C78" s="94" t="s">
        <v>71</v>
      </c>
      <c r="D78" s="94"/>
      <c r="E78" s="94"/>
      <c r="F78" s="94"/>
      <c r="G78" s="94"/>
      <c r="H78" s="94"/>
      <c r="I78" s="95"/>
    </row>
    <row r="79">
      <c r="B79" s="96"/>
      <c r="I79" s="97"/>
    </row>
    <row r="80" ht="21.75">
      <c r="B80" s="98"/>
      <c r="C80" s="99" t="s">
        <v>74</v>
      </c>
      <c r="D80" s="100"/>
      <c r="E80" s="100"/>
      <c r="F80" s="101" t="s">
        <v>75</v>
      </c>
      <c r="G80" s="101"/>
      <c r="H80" s="101" t="s">
        <v>76</v>
      </c>
      <c r="I80" s="102" t="s">
        <v>28</v>
      </c>
    </row>
    <row r="81">
      <c r="B81" s="96"/>
      <c r="I81" s="97"/>
    </row>
    <row r="82">
      <c r="B82" s="96"/>
      <c r="C82" s="76" t="s">
        <v>79</v>
      </c>
      <c r="H82" s="77">
        <f>'Rec.Data System-IN'!R17</f>
        <v>4793188</v>
      </c>
      <c r="I82" s="97">
        <f t="shared" ref="I82:I88" si="4">F82+H82</f>
        <v>4793188</v>
      </c>
    </row>
    <row r="83">
      <c r="B83" s="96"/>
      <c r="C83" s="76" t="s">
        <v>81</v>
      </c>
      <c r="H83" s="103">
        <f>'Rec.Data System-IN'!S17</f>
        <v>2161875</v>
      </c>
      <c r="I83" s="97">
        <f t="shared" si="4"/>
        <v>2161875</v>
      </c>
    </row>
    <row r="84" ht="25.5" customHeight="1">
      <c r="B84" s="96"/>
      <c r="C84" s="65" t="s">
        <v>83</v>
      </c>
      <c r="F84" s="77">
        <f>I45</f>
        <v>7981063</v>
      </c>
      <c r="H84" s="77">
        <f>SUM(H82:H83)</f>
        <v>6955063</v>
      </c>
      <c r="I84" s="97">
        <f t="shared" si="4"/>
        <v>14936126</v>
      </c>
    </row>
    <row r="85">
      <c r="B85" s="96"/>
      <c r="C85" s="76" t="s">
        <v>31</v>
      </c>
      <c r="F85" s="77">
        <f>I50</f>
        <v>0</v>
      </c>
      <c r="H85" s="77">
        <f>'Rec.Data System-IN'!T17</f>
        <v>0</v>
      </c>
      <c r="I85" s="97">
        <f t="shared" si="4"/>
        <v>0</v>
      </c>
    </row>
    <row r="86">
      <c r="B86" s="96"/>
      <c r="C86" s="76" t="s">
        <v>32</v>
      </c>
      <c r="F86" s="77">
        <f>I55</f>
        <v>1106000</v>
      </c>
      <c r="H86" s="77">
        <f>'Rec.Data System-IN'!U17</f>
        <v>254000</v>
      </c>
      <c r="I86" s="97">
        <f t="shared" si="4"/>
        <v>1360000</v>
      </c>
    </row>
    <row r="87">
      <c r="B87" s="96"/>
      <c r="C87" s="76" t="s">
        <v>33</v>
      </c>
      <c r="F87" s="77">
        <f>I60</f>
        <v>0</v>
      </c>
      <c r="H87" s="77">
        <f>'Rec.Data System-IN'!V17</f>
        <v>0</v>
      </c>
      <c r="I87" s="97">
        <f t="shared" si="4"/>
        <v>0</v>
      </c>
    </row>
    <row r="88">
      <c r="B88" s="96"/>
      <c r="C88" s="76" t="s">
        <v>34</v>
      </c>
      <c r="F88" s="103">
        <f>I65</f>
        <v>0</v>
      </c>
      <c r="H88" s="77">
        <f>'Rec.Data System-IN'!W17</f>
        <v>0</v>
      </c>
      <c r="I88" s="97">
        <f t="shared" si="4"/>
        <v>0</v>
      </c>
    </row>
    <row r="89">
      <c r="B89" s="96"/>
      <c r="I89" s="97"/>
    </row>
    <row r="90" ht="15.75">
      <c r="B90" s="96"/>
      <c r="C90" s="76" t="s">
        <v>90</v>
      </c>
      <c r="I90" s="104">
        <f>SUM(I84:I88)</f>
        <v>16296126</v>
      </c>
    </row>
    <row r="91" ht="15">
      <c r="B91" s="96"/>
      <c r="I91" s="97"/>
    </row>
    <row r="92" ht="21.75">
      <c r="B92" s="105"/>
      <c r="C92" s="106" t="s">
        <v>93</v>
      </c>
      <c r="D92" s="106"/>
      <c r="E92" s="106"/>
      <c r="F92" s="106"/>
      <c r="G92" s="106"/>
      <c r="H92" s="106"/>
      <c r="I92" s="107"/>
    </row>
    <row r="93">
      <c r="B93" s="96"/>
      <c r="F93" s="76"/>
      <c r="H93" s="76"/>
      <c r="I93" s="97"/>
    </row>
    <row r="94" ht="21.75">
      <c r="B94" s="98"/>
      <c r="C94" s="99" t="s">
        <v>96</v>
      </c>
      <c r="D94" s="100"/>
      <c r="E94" s="99" t="s">
        <v>97</v>
      </c>
      <c r="F94" s="108" t="s">
        <v>98</v>
      </c>
      <c r="G94" s="101"/>
      <c r="H94" s="101"/>
      <c r="I94" s="102"/>
    </row>
    <row r="95">
      <c r="B95" s="109"/>
      <c r="F95" s="76" t="s">
        <v>100</v>
      </c>
      <c r="H95" s="110"/>
      <c r="I95" s="97"/>
    </row>
    <row r="96">
      <c r="B96" s="109"/>
      <c r="F96" s="76"/>
      <c r="H96" s="110"/>
      <c r="I96" s="97"/>
    </row>
    <row r="97">
      <c r="B97" s="109">
        <v>1</v>
      </c>
      <c r="F97" s="76" t="s">
        <v>103</v>
      </c>
      <c r="G97" s="76"/>
      <c r="H97" s="111">
        <v>0</v>
      </c>
      <c r="I97" s="97"/>
    </row>
    <row r="98">
      <c r="B98" s="109">
        <v>2</v>
      </c>
      <c r="F98" s="76" t="s">
        <v>103</v>
      </c>
      <c r="G98" s="76"/>
      <c r="H98" s="111">
        <v>0</v>
      </c>
      <c r="I98" s="97"/>
    </row>
    <row r="99">
      <c r="B99" s="109">
        <v>3</v>
      </c>
      <c r="F99" s="76" t="s">
        <v>103</v>
      </c>
      <c r="G99" s="76"/>
      <c r="H99" s="111">
        <v>0</v>
      </c>
      <c r="I99" s="97"/>
    </row>
    <row r="100">
      <c r="B100" s="109">
        <v>4</v>
      </c>
      <c r="F100" s="76" t="s">
        <v>103</v>
      </c>
      <c r="G100" s="76"/>
      <c r="H100" s="111">
        <v>0</v>
      </c>
      <c r="I100" s="97"/>
    </row>
    <row r="101">
      <c r="B101" s="109">
        <v>5</v>
      </c>
      <c r="F101" s="76" t="s">
        <v>103</v>
      </c>
      <c r="G101" s="76"/>
      <c r="H101" s="111">
        <v>0</v>
      </c>
      <c r="I101" s="97"/>
      <c r="N101" s="77"/>
      <c r="O101" s="77"/>
    </row>
    <row r="102" ht="16.5">
      <c r="B102" s="109">
        <v>6</v>
      </c>
      <c r="F102" s="76" t="s">
        <v>103</v>
      </c>
      <c r="G102" s="76"/>
      <c r="H102" s="112">
        <v>0</v>
      </c>
      <c r="I102" s="97"/>
      <c r="N102" s="77"/>
      <c r="O102" s="77"/>
    </row>
    <row r="103">
      <c r="B103" s="109"/>
      <c r="C103" s="113" t="s">
        <v>106</v>
      </c>
      <c r="F103" s="76"/>
      <c r="G103" s="76"/>
      <c r="H103" s="111">
        <f>SUM(H97:H102)</f>
        <v>0</v>
      </c>
      <c r="I103" s="97">
        <f>I84-H103</f>
        <v>14936126</v>
      </c>
      <c r="N103" s="77"/>
      <c r="O103" s="77"/>
    </row>
    <row r="104">
      <c r="B104" s="109">
        <v>1</v>
      </c>
      <c r="F104" s="76" t="s">
        <v>31</v>
      </c>
      <c r="G104" s="76"/>
      <c r="H104" s="111">
        <v>0</v>
      </c>
      <c r="I104" s="97"/>
      <c r="N104" s="77"/>
      <c r="O104" s="77"/>
    </row>
    <row r="105">
      <c r="B105" s="109">
        <v>2</v>
      </c>
      <c r="F105" s="76" t="s">
        <v>31</v>
      </c>
      <c r="G105" s="76"/>
      <c r="H105" s="111">
        <v>0</v>
      </c>
      <c r="I105" s="97"/>
      <c r="N105" s="77"/>
      <c r="O105" s="77"/>
    </row>
    <row r="106">
      <c r="B106" s="109">
        <v>3</v>
      </c>
      <c r="F106" s="76" t="s">
        <v>31</v>
      </c>
      <c r="G106" s="76"/>
      <c r="H106" s="111">
        <v>0</v>
      </c>
      <c r="I106" s="97"/>
      <c r="N106" s="77"/>
      <c r="O106" s="77"/>
    </row>
    <row r="107" ht="16.5">
      <c r="B107" s="109">
        <v>4</v>
      </c>
      <c r="F107" s="76" t="s">
        <v>31</v>
      </c>
      <c r="G107" s="76"/>
      <c r="H107" s="112">
        <v>0</v>
      </c>
      <c r="I107" s="97"/>
      <c r="N107" s="77"/>
      <c r="O107" s="77"/>
    </row>
    <row r="108">
      <c r="B108" s="109"/>
      <c r="C108" s="113" t="s">
        <v>112</v>
      </c>
      <c r="F108" s="76"/>
      <c r="G108" s="76"/>
      <c r="H108" s="111">
        <f>SUM(H104:H107)</f>
        <v>0</v>
      </c>
      <c r="I108" s="97">
        <f>I85-H108</f>
        <v>0</v>
      </c>
      <c r="N108" s="77"/>
      <c r="O108" s="77"/>
    </row>
    <row r="109">
      <c r="B109" s="109">
        <v>1</v>
      </c>
      <c r="F109" s="76" t="s">
        <v>32</v>
      </c>
      <c r="G109" s="76"/>
      <c r="H109" s="111">
        <v>0</v>
      </c>
      <c r="I109" s="97"/>
      <c r="N109" s="77"/>
      <c r="O109" s="77"/>
    </row>
    <row r="110">
      <c r="B110" s="109">
        <v>2</v>
      </c>
      <c r="F110" s="76" t="s">
        <v>32</v>
      </c>
      <c r="G110" s="76"/>
      <c r="H110" s="111">
        <v>0</v>
      </c>
      <c r="I110" s="97"/>
      <c r="N110" s="77"/>
      <c r="O110" s="77"/>
    </row>
    <row r="111">
      <c r="B111" s="109">
        <v>3</v>
      </c>
      <c r="F111" s="76" t="s">
        <v>32</v>
      </c>
      <c r="G111" s="76"/>
      <c r="H111" s="111">
        <v>0</v>
      </c>
      <c r="I111" s="97"/>
      <c r="N111" s="77"/>
      <c r="O111" s="77"/>
    </row>
    <row r="112" ht="16.5">
      <c r="B112" s="109">
        <v>4</v>
      </c>
      <c r="F112" s="76" t="s">
        <v>32</v>
      </c>
      <c r="G112" s="76"/>
      <c r="H112" s="112">
        <v>0</v>
      </c>
      <c r="I112" s="97"/>
      <c r="N112" s="77"/>
      <c r="O112" s="77"/>
    </row>
    <row r="113">
      <c r="B113" s="109"/>
      <c r="C113" s="113" t="s">
        <v>116</v>
      </c>
      <c r="F113" s="76"/>
      <c r="G113" s="76"/>
      <c r="H113" s="111">
        <f>SUM(H109:H112)</f>
        <v>0</v>
      </c>
      <c r="I113" s="97">
        <f>I86-H113</f>
        <v>1360000</v>
      </c>
      <c r="N113" s="77"/>
      <c r="O113" s="77"/>
    </row>
    <row r="114">
      <c r="B114" s="109">
        <v>1</v>
      </c>
      <c r="F114" s="76" t="s">
        <v>33</v>
      </c>
      <c r="G114" s="76"/>
      <c r="H114" s="111">
        <v>0</v>
      </c>
      <c r="I114" s="97"/>
      <c r="N114" s="77"/>
      <c r="O114" s="77"/>
    </row>
    <row r="115">
      <c r="B115" s="109">
        <v>2</v>
      </c>
      <c r="F115" s="76" t="s">
        <v>33</v>
      </c>
      <c r="G115" s="76"/>
      <c r="H115" s="111">
        <v>0</v>
      </c>
      <c r="I115" s="97"/>
      <c r="N115" s="77"/>
      <c r="O115" s="77"/>
    </row>
    <row r="116">
      <c r="B116" s="109">
        <v>3</v>
      </c>
      <c r="F116" s="76" t="s">
        <v>33</v>
      </c>
      <c r="G116" s="76"/>
      <c r="H116" s="111">
        <v>0</v>
      </c>
      <c r="I116" s="97"/>
      <c r="N116" s="77"/>
      <c r="O116" s="77"/>
    </row>
    <row r="117" ht="16.5">
      <c r="B117" s="109">
        <v>4</v>
      </c>
      <c r="F117" s="76" t="s">
        <v>33</v>
      </c>
      <c r="G117" s="76"/>
      <c r="H117" s="112">
        <v>0</v>
      </c>
      <c r="I117" s="97"/>
      <c r="N117" s="77"/>
      <c r="O117" s="77"/>
    </row>
    <row r="118">
      <c r="B118" s="109"/>
      <c r="C118" s="113" t="s">
        <v>117</v>
      </c>
      <c r="F118" s="76"/>
      <c r="G118" s="76"/>
      <c r="H118" s="111">
        <f>SUM(H114:H117)</f>
        <v>0</v>
      </c>
      <c r="I118" s="97">
        <f>I87-H118</f>
        <v>0</v>
      </c>
      <c r="N118" s="77"/>
      <c r="O118" s="77"/>
    </row>
    <row r="119">
      <c r="B119" s="109">
        <v>1</v>
      </c>
      <c r="F119" s="76" t="s">
        <v>118</v>
      </c>
      <c r="G119" s="76"/>
      <c r="H119" s="111">
        <v>0</v>
      </c>
      <c r="I119" s="97"/>
      <c r="N119" s="77"/>
      <c r="O119" s="77"/>
    </row>
    <row r="120">
      <c r="B120" s="109">
        <v>2</v>
      </c>
      <c r="F120" s="76" t="s">
        <v>118</v>
      </c>
      <c r="G120" s="76"/>
      <c r="H120" s="111">
        <v>0</v>
      </c>
      <c r="I120" s="97"/>
      <c r="N120" s="77"/>
      <c r="O120" s="77"/>
    </row>
    <row r="121">
      <c r="B121" s="109">
        <v>3</v>
      </c>
      <c r="F121" s="76" t="s">
        <v>118</v>
      </c>
      <c r="G121" s="76"/>
      <c r="H121" s="111">
        <v>0</v>
      </c>
      <c r="I121" s="97"/>
      <c r="N121" s="77"/>
      <c r="O121" s="77"/>
    </row>
    <row r="122" ht="16.5">
      <c r="B122" s="109">
        <v>4</v>
      </c>
      <c r="F122" s="76" t="s">
        <v>118</v>
      </c>
      <c r="G122" s="76"/>
      <c r="H122" s="112">
        <v>0</v>
      </c>
      <c r="I122" s="97"/>
      <c r="N122" s="77"/>
      <c r="O122" s="77"/>
    </row>
    <row r="123">
      <c r="B123" s="109"/>
      <c r="C123" s="113" t="s">
        <v>121</v>
      </c>
      <c r="F123" s="76"/>
      <c r="G123" s="76"/>
      <c r="H123" s="111">
        <f>SUM(H119:H122)</f>
        <v>0</v>
      </c>
      <c r="I123" s="97">
        <f>I88-H123</f>
        <v>0</v>
      </c>
      <c r="N123" s="77"/>
      <c r="O123" s="77"/>
    </row>
    <row r="124">
      <c r="B124" s="96"/>
      <c r="I124" s="97"/>
    </row>
    <row r="125" ht="15">
      <c r="B125" s="96"/>
      <c r="C125" s="76" t="s">
        <v>122</v>
      </c>
      <c r="H125" s="114">
        <f>H103+H108+H113+H118+H123</f>
        <v>0</v>
      </c>
      <c r="I125" s="115"/>
    </row>
    <row r="126">
      <c r="B126" s="96"/>
      <c r="I126" s="97"/>
    </row>
    <row r="127" ht="15">
      <c r="B127" s="96"/>
      <c r="C127" s="76" t="s">
        <v>123</v>
      </c>
      <c r="H127" s="76"/>
      <c r="I127" s="116">
        <f>I90-H125</f>
        <v>16296126</v>
      </c>
    </row>
    <row r="128">
      <c r="B128" s="117"/>
      <c r="C128" s="118"/>
      <c r="D128" s="118"/>
      <c r="E128" s="118"/>
      <c r="F128" s="119"/>
      <c r="G128" s="119"/>
      <c r="H128" s="119"/>
      <c r="I128" s="120"/>
    </row>
    <row r="132" ht="28.899999999999999" customHeight="1">
      <c r="B132" s="88" t="str">
        <f>B16</f>
        <v xml:space="preserve">CIBINONG KOTA</v>
      </c>
      <c r="C132" s="89"/>
      <c r="D132" s="89"/>
      <c r="E132" s="89"/>
      <c r="F132" s="89"/>
      <c r="G132" s="89"/>
      <c r="H132" s="89"/>
      <c r="I132" s="89"/>
    </row>
    <row r="133" ht="21.75">
      <c r="B133" s="90" t="s">
        <v>69</v>
      </c>
      <c r="C133" s="90"/>
      <c r="D133" s="90"/>
      <c r="E133" s="90"/>
      <c r="F133" s="90"/>
      <c r="G133" s="90"/>
      <c r="H133" s="90"/>
      <c r="I133" s="91"/>
    </row>
    <row r="134" ht="21.75">
      <c r="B134" s="86" t="s">
        <v>125</v>
      </c>
      <c r="C134" s="86"/>
      <c r="D134" s="86"/>
      <c r="E134" s="86"/>
      <c r="F134" s="86"/>
      <c r="G134" s="86"/>
      <c r="H134" s="86"/>
      <c r="I134" s="92"/>
    </row>
    <row r="136" ht="21.75">
      <c r="B136" s="93"/>
      <c r="C136" s="94" t="s">
        <v>71</v>
      </c>
      <c r="D136" s="94"/>
      <c r="E136" s="94"/>
      <c r="F136" s="94"/>
      <c r="G136" s="94"/>
      <c r="H136" s="94"/>
      <c r="I136" s="95"/>
    </row>
    <row r="137">
      <c r="B137" s="96"/>
      <c r="I137" s="97"/>
    </row>
    <row r="138" ht="21.75">
      <c r="B138" s="98"/>
      <c r="C138" s="99" t="s">
        <v>74</v>
      </c>
      <c r="D138" s="100"/>
      <c r="E138" s="100"/>
      <c r="F138" s="101" t="s">
        <v>75</v>
      </c>
      <c r="G138" s="101"/>
      <c r="H138" s="101" t="s">
        <v>76</v>
      </c>
      <c r="I138" s="102" t="s">
        <v>28</v>
      </c>
    </row>
    <row r="139">
      <c r="B139" s="96"/>
      <c r="I139" s="97"/>
    </row>
    <row r="140">
      <c r="B140" s="96"/>
      <c r="C140" s="76" t="s">
        <v>79</v>
      </c>
      <c r="H140" s="77">
        <f>'Rec.Data System-IN'!R18</f>
        <v>2380688</v>
      </c>
      <c r="I140" s="97">
        <f t="shared" ref="I140:I146" si="5">F140+H140</f>
        <v>2380688</v>
      </c>
    </row>
    <row r="141">
      <c r="B141" s="96"/>
      <c r="C141" s="76" t="s">
        <v>81</v>
      </c>
      <c r="H141" s="103">
        <f>'Rec.Data System-IN'!S18</f>
        <v>4390375</v>
      </c>
      <c r="I141" s="97">
        <f t="shared" si="5"/>
        <v>4390375</v>
      </c>
    </row>
    <row r="142" ht="25.5" customHeight="1">
      <c r="B142" s="96"/>
      <c r="C142" s="65" t="s">
        <v>83</v>
      </c>
      <c r="F142" s="77">
        <f>I103</f>
        <v>14936126</v>
      </c>
      <c r="H142" s="77">
        <f>SUM(H140:H141)</f>
        <v>6771063</v>
      </c>
      <c r="I142" s="97">
        <f t="shared" si="5"/>
        <v>21707189</v>
      </c>
    </row>
    <row r="143">
      <c r="B143" s="96"/>
      <c r="C143" s="76" t="s">
        <v>31</v>
      </c>
      <c r="F143" s="77">
        <f>I108</f>
        <v>0</v>
      </c>
      <c r="H143" s="77">
        <f>'Rec.Data System-IN'!T18</f>
        <v>0</v>
      </c>
      <c r="I143" s="97">
        <f t="shared" si="5"/>
        <v>0</v>
      </c>
    </row>
    <row r="144">
      <c r="B144" s="96"/>
      <c r="C144" s="76" t="s">
        <v>32</v>
      </c>
      <c r="F144" s="77">
        <f>I113</f>
        <v>1360000</v>
      </c>
      <c r="H144" s="77">
        <f>'Rec.Data System-IN'!U18</f>
        <v>1318000</v>
      </c>
      <c r="I144" s="97">
        <f t="shared" si="5"/>
        <v>2678000</v>
      </c>
    </row>
    <row r="145">
      <c r="B145" s="96"/>
      <c r="C145" s="76" t="s">
        <v>33</v>
      </c>
      <c r="F145" s="77">
        <f>I118</f>
        <v>0</v>
      </c>
      <c r="H145" s="77">
        <f>'Rec.Data System-IN'!V18</f>
        <v>0</v>
      </c>
      <c r="I145" s="97">
        <f t="shared" si="5"/>
        <v>0</v>
      </c>
    </row>
    <row r="146">
      <c r="B146" s="96"/>
      <c r="C146" s="76" t="s">
        <v>34</v>
      </c>
      <c r="F146" s="103">
        <f>I123</f>
        <v>0</v>
      </c>
      <c r="H146" s="77">
        <f>'Rec.Data System-IN'!W18</f>
        <v>0</v>
      </c>
      <c r="I146" s="97">
        <f t="shared" si="5"/>
        <v>0</v>
      </c>
    </row>
    <row r="147">
      <c r="B147" s="96"/>
      <c r="I147" s="97"/>
    </row>
    <row r="148" ht="15.75">
      <c r="B148" s="96"/>
      <c r="C148" s="76" t="s">
        <v>90</v>
      </c>
      <c r="I148" s="104">
        <f>SUM(I142:I146)</f>
        <v>24385189</v>
      </c>
    </row>
    <row r="149" ht="15">
      <c r="B149" s="96"/>
      <c r="I149" s="97"/>
    </row>
    <row r="150" ht="21.75">
      <c r="B150" s="105"/>
      <c r="C150" s="106" t="s">
        <v>93</v>
      </c>
      <c r="D150" s="106"/>
      <c r="E150" s="106"/>
      <c r="F150" s="106"/>
      <c r="G150" s="106"/>
      <c r="H150" s="106"/>
      <c r="I150" s="107"/>
    </row>
    <row r="151">
      <c r="B151" s="96"/>
      <c r="F151" s="76"/>
      <c r="H151" s="76"/>
      <c r="I151" s="97"/>
    </row>
    <row r="152" ht="21.75">
      <c r="B152" s="98"/>
      <c r="C152" s="99" t="s">
        <v>96</v>
      </c>
      <c r="D152" s="100"/>
      <c r="E152" s="99" t="s">
        <v>97</v>
      </c>
      <c r="F152" s="108" t="s">
        <v>98</v>
      </c>
      <c r="G152" s="101"/>
      <c r="H152" s="101"/>
      <c r="I152" s="102"/>
    </row>
    <row r="153">
      <c r="B153" s="109"/>
      <c r="F153" s="76" t="s">
        <v>100</v>
      </c>
      <c r="H153" s="110"/>
      <c r="I153" s="97"/>
    </row>
    <row r="154">
      <c r="B154" s="109"/>
      <c r="F154" s="76"/>
      <c r="H154" s="110"/>
      <c r="I154" s="97"/>
    </row>
    <row r="155">
      <c r="B155" s="109">
        <v>1</v>
      </c>
      <c r="F155" s="76" t="s">
        <v>103</v>
      </c>
      <c r="G155" s="76"/>
      <c r="H155" s="111">
        <v>0</v>
      </c>
      <c r="I155" s="97"/>
    </row>
    <row r="156">
      <c r="B156" s="109">
        <v>2</v>
      </c>
      <c r="F156" s="76" t="s">
        <v>103</v>
      </c>
      <c r="G156" s="76"/>
      <c r="H156" s="111">
        <v>0</v>
      </c>
      <c r="I156" s="97"/>
    </row>
    <row r="157">
      <c r="B157" s="109">
        <v>3</v>
      </c>
      <c r="F157" s="76" t="s">
        <v>103</v>
      </c>
      <c r="G157" s="76"/>
      <c r="H157" s="111">
        <v>0</v>
      </c>
      <c r="I157" s="97"/>
    </row>
    <row r="158">
      <c r="B158" s="109">
        <v>4</v>
      </c>
      <c r="F158" s="76" t="s">
        <v>103</v>
      </c>
      <c r="G158" s="76"/>
      <c r="H158" s="111">
        <v>0</v>
      </c>
      <c r="I158" s="97"/>
    </row>
    <row r="159">
      <c r="B159" s="109">
        <v>5</v>
      </c>
      <c r="F159" s="76" t="s">
        <v>103</v>
      </c>
      <c r="G159" s="76"/>
      <c r="H159" s="111">
        <v>0</v>
      </c>
      <c r="I159" s="97"/>
      <c r="N159" s="77"/>
      <c r="O159" s="77"/>
    </row>
    <row r="160" ht="16.5">
      <c r="B160" s="109">
        <v>6</v>
      </c>
      <c r="F160" s="76" t="s">
        <v>103</v>
      </c>
      <c r="G160" s="76"/>
      <c r="H160" s="112">
        <v>0</v>
      </c>
      <c r="I160" s="97"/>
      <c r="N160" s="77"/>
      <c r="O160" s="77"/>
    </row>
    <row r="161">
      <c r="B161" s="109"/>
      <c r="C161" s="113" t="s">
        <v>106</v>
      </c>
      <c r="F161" s="76"/>
      <c r="G161" s="76"/>
      <c r="H161" s="111">
        <f>SUM(H155:H160)</f>
        <v>0</v>
      </c>
      <c r="I161" s="97">
        <f>I142-H161</f>
        <v>21707189</v>
      </c>
      <c r="N161" s="77"/>
      <c r="O161" s="77"/>
    </row>
    <row r="162">
      <c r="B162" s="109">
        <v>1</v>
      </c>
      <c r="F162" s="76" t="s">
        <v>31</v>
      </c>
      <c r="G162" s="76"/>
      <c r="H162" s="111">
        <v>0</v>
      </c>
      <c r="I162" s="97"/>
      <c r="N162" s="77"/>
      <c r="O162" s="77"/>
    </row>
    <row r="163">
      <c r="B163" s="109">
        <v>2</v>
      </c>
      <c r="F163" s="76" t="s">
        <v>31</v>
      </c>
      <c r="G163" s="76"/>
      <c r="H163" s="111">
        <v>0</v>
      </c>
      <c r="I163" s="97"/>
      <c r="N163" s="77"/>
      <c r="O163" s="77"/>
    </row>
    <row r="164">
      <c r="B164" s="109">
        <v>3</v>
      </c>
      <c r="F164" s="76" t="s">
        <v>31</v>
      </c>
      <c r="G164" s="76"/>
      <c r="H164" s="111">
        <v>0</v>
      </c>
      <c r="I164" s="97"/>
      <c r="N164" s="77"/>
      <c r="O164" s="77"/>
    </row>
    <row r="165" ht="16.5">
      <c r="B165" s="109">
        <v>4</v>
      </c>
      <c r="F165" s="76" t="s">
        <v>31</v>
      </c>
      <c r="G165" s="76"/>
      <c r="H165" s="112">
        <v>0</v>
      </c>
      <c r="I165" s="97"/>
      <c r="N165" s="77"/>
      <c r="O165" s="77"/>
    </row>
    <row r="166">
      <c r="B166" s="109"/>
      <c r="C166" s="113" t="s">
        <v>112</v>
      </c>
      <c r="F166" s="76"/>
      <c r="G166" s="76"/>
      <c r="H166" s="111">
        <f>SUM(H162:H165)</f>
        <v>0</v>
      </c>
      <c r="I166" s="97">
        <f>I143-H166</f>
        <v>0</v>
      </c>
      <c r="N166" s="77"/>
      <c r="O166" s="77"/>
    </row>
    <row r="167">
      <c r="B167" s="109">
        <v>1</v>
      </c>
      <c r="F167" s="76" t="s">
        <v>32</v>
      </c>
      <c r="G167" s="76"/>
      <c r="H167" s="111">
        <v>0</v>
      </c>
      <c r="I167" s="97"/>
      <c r="N167" s="77"/>
      <c r="O167" s="77"/>
    </row>
    <row r="168">
      <c r="B168" s="109">
        <v>2</v>
      </c>
      <c r="F168" s="76" t="s">
        <v>32</v>
      </c>
      <c r="G168" s="76"/>
      <c r="H168" s="111">
        <v>0</v>
      </c>
      <c r="I168" s="97"/>
      <c r="N168" s="77"/>
      <c r="O168" s="77"/>
    </row>
    <row r="169">
      <c r="B169" s="109">
        <v>3</v>
      </c>
      <c r="F169" s="76" t="s">
        <v>32</v>
      </c>
      <c r="G169" s="76"/>
      <c r="H169" s="111">
        <v>0</v>
      </c>
      <c r="I169" s="97"/>
      <c r="N169" s="77"/>
      <c r="O169" s="77"/>
    </row>
    <row r="170" ht="16.5">
      <c r="B170" s="109">
        <v>4</v>
      </c>
      <c r="F170" s="76" t="s">
        <v>32</v>
      </c>
      <c r="G170" s="76"/>
      <c r="H170" s="112">
        <v>0</v>
      </c>
      <c r="I170" s="97"/>
      <c r="N170" s="77"/>
      <c r="O170" s="77"/>
    </row>
    <row r="171">
      <c r="B171" s="109"/>
      <c r="C171" s="113" t="s">
        <v>116</v>
      </c>
      <c r="F171" s="76"/>
      <c r="G171" s="76"/>
      <c r="H171" s="111">
        <f>SUM(H167:H170)</f>
        <v>0</v>
      </c>
      <c r="I171" s="97">
        <f>I144-H171</f>
        <v>2678000</v>
      </c>
      <c r="N171" s="77"/>
      <c r="O171" s="77"/>
    </row>
    <row r="172">
      <c r="B172" s="109">
        <v>1</v>
      </c>
      <c r="F172" s="76" t="s">
        <v>33</v>
      </c>
      <c r="G172" s="76"/>
      <c r="H172" s="111">
        <v>0</v>
      </c>
      <c r="I172" s="97"/>
      <c r="N172" s="77"/>
      <c r="O172" s="77"/>
    </row>
    <row r="173">
      <c r="B173" s="109">
        <v>2</v>
      </c>
      <c r="F173" s="76" t="s">
        <v>33</v>
      </c>
      <c r="G173" s="76"/>
      <c r="H173" s="111">
        <v>0</v>
      </c>
      <c r="I173" s="97"/>
      <c r="N173" s="77"/>
      <c r="O173" s="77"/>
    </row>
    <row r="174">
      <c r="B174" s="109">
        <v>3</v>
      </c>
      <c r="F174" s="76" t="s">
        <v>33</v>
      </c>
      <c r="G174" s="76"/>
      <c r="H174" s="111">
        <v>0</v>
      </c>
      <c r="I174" s="97"/>
      <c r="N174" s="77"/>
      <c r="O174" s="77"/>
    </row>
    <row r="175" ht="16.5">
      <c r="B175" s="109">
        <v>4</v>
      </c>
      <c r="F175" s="76" t="s">
        <v>33</v>
      </c>
      <c r="G175" s="76"/>
      <c r="H175" s="112">
        <v>0</v>
      </c>
      <c r="I175" s="97"/>
      <c r="N175" s="77"/>
      <c r="O175" s="77"/>
    </row>
    <row r="176">
      <c r="B176" s="109"/>
      <c r="C176" s="113" t="s">
        <v>117</v>
      </c>
      <c r="F176" s="76"/>
      <c r="G176" s="76"/>
      <c r="H176" s="111">
        <f>SUM(H172:H175)</f>
        <v>0</v>
      </c>
      <c r="I176" s="97">
        <f>I145-H176</f>
        <v>0</v>
      </c>
      <c r="N176" s="77"/>
      <c r="O176" s="77"/>
    </row>
    <row r="177">
      <c r="B177" s="109">
        <v>1</v>
      </c>
      <c r="F177" s="76" t="s">
        <v>118</v>
      </c>
      <c r="G177" s="76"/>
      <c r="H177" s="111">
        <v>0</v>
      </c>
      <c r="I177" s="97"/>
      <c r="N177" s="77"/>
      <c r="O177" s="77"/>
    </row>
    <row r="178">
      <c r="B178" s="109">
        <v>2</v>
      </c>
      <c r="F178" s="76" t="s">
        <v>118</v>
      </c>
      <c r="G178" s="76"/>
      <c r="H178" s="111">
        <v>0</v>
      </c>
      <c r="I178" s="97"/>
      <c r="N178" s="77"/>
      <c r="O178" s="77"/>
    </row>
    <row r="179">
      <c r="B179" s="109">
        <v>3</v>
      </c>
      <c r="F179" s="76" t="s">
        <v>118</v>
      </c>
      <c r="G179" s="76"/>
      <c r="H179" s="111">
        <v>0</v>
      </c>
      <c r="I179" s="97"/>
      <c r="N179" s="77"/>
      <c r="O179" s="77"/>
    </row>
    <row r="180" ht="16.5">
      <c r="B180" s="109">
        <v>4</v>
      </c>
      <c r="F180" s="76" t="s">
        <v>118</v>
      </c>
      <c r="G180" s="76"/>
      <c r="H180" s="112">
        <v>0</v>
      </c>
      <c r="I180" s="97"/>
      <c r="N180" s="77"/>
      <c r="O180" s="77"/>
    </row>
    <row r="181">
      <c r="B181" s="109"/>
      <c r="C181" s="113" t="s">
        <v>121</v>
      </c>
      <c r="F181" s="76"/>
      <c r="G181" s="76"/>
      <c r="H181" s="111">
        <f>SUM(H177:H180)</f>
        <v>0</v>
      </c>
      <c r="I181" s="97">
        <f>I146-H181</f>
        <v>0</v>
      </c>
      <c r="N181" s="77"/>
      <c r="O181" s="77"/>
    </row>
    <row r="182">
      <c r="B182" s="96"/>
      <c r="I182" s="97"/>
    </row>
    <row r="183" ht="15">
      <c r="B183" s="96"/>
      <c r="C183" s="76" t="s">
        <v>122</v>
      </c>
      <c r="H183" s="114">
        <f>H161+H166+H171+H176+H181</f>
        <v>0</v>
      </c>
      <c r="I183" s="115"/>
    </row>
    <row r="184">
      <c r="B184" s="96"/>
      <c r="I184" s="97"/>
    </row>
    <row r="185" ht="15">
      <c r="B185" s="96"/>
      <c r="C185" s="76" t="s">
        <v>123</v>
      </c>
      <c r="H185" s="76"/>
      <c r="I185" s="116">
        <f>I148-H183</f>
        <v>24385189</v>
      </c>
    </row>
    <row r="186">
      <c r="B186" s="117"/>
      <c r="C186" s="118"/>
      <c r="D186" s="118"/>
      <c r="E186" s="118"/>
      <c r="F186" s="119"/>
      <c r="G186" s="119"/>
      <c r="H186" s="119"/>
      <c r="I186" s="120"/>
    </row>
    <row r="190" ht="28.899999999999999" customHeight="1">
      <c r="B190" s="88" t="str">
        <f>B16</f>
        <v xml:space="preserve">CIBINONG KOTA</v>
      </c>
      <c r="C190" s="89"/>
      <c r="D190" s="89"/>
      <c r="E190" s="89"/>
      <c r="F190" s="89"/>
      <c r="G190" s="89"/>
      <c r="H190" s="89"/>
      <c r="I190" s="89"/>
    </row>
    <row r="191" ht="21.75">
      <c r="B191" s="90" t="s">
        <v>69</v>
      </c>
      <c r="C191" s="90"/>
      <c r="D191" s="90"/>
      <c r="E191" s="90"/>
      <c r="F191" s="90"/>
      <c r="G191" s="90"/>
      <c r="H191" s="90"/>
      <c r="I191" s="91"/>
    </row>
    <row r="192" ht="21.75">
      <c r="B192" s="86" t="s">
        <v>126</v>
      </c>
      <c r="C192" s="86"/>
      <c r="D192" s="86"/>
      <c r="E192" s="86"/>
      <c r="F192" s="86"/>
      <c r="G192" s="86"/>
      <c r="H192" s="86"/>
      <c r="I192" s="92"/>
    </row>
    <row r="194" ht="21.75">
      <c r="B194" s="93"/>
      <c r="C194" s="94" t="s">
        <v>71</v>
      </c>
      <c r="D194" s="94"/>
      <c r="E194" s="94"/>
      <c r="F194" s="94"/>
      <c r="G194" s="94"/>
      <c r="H194" s="94"/>
      <c r="I194" s="95"/>
    </row>
    <row r="195">
      <c r="B195" s="96"/>
      <c r="I195" s="97"/>
    </row>
    <row r="196" ht="21.75">
      <c r="B196" s="98"/>
      <c r="C196" s="99" t="s">
        <v>74</v>
      </c>
      <c r="D196" s="100"/>
      <c r="E196" s="100"/>
      <c r="F196" s="101" t="s">
        <v>75</v>
      </c>
      <c r="G196" s="101"/>
      <c r="H196" s="101" t="s">
        <v>76</v>
      </c>
      <c r="I196" s="102" t="s">
        <v>28</v>
      </c>
    </row>
    <row r="197">
      <c r="B197" s="96"/>
      <c r="I197" s="97"/>
    </row>
    <row r="198">
      <c r="B198" s="96"/>
      <c r="C198" s="76" t="s">
        <v>79</v>
      </c>
      <c r="H198" s="77">
        <f>'Rec.Data System-IN'!R19</f>
        <v>5608688</v>
      </c>
      <c r="I198" s="97">
        <f t="shared" ref="I198:I204" si="6">F198+H198</f>
        <v>5608688</v>
      </c>
    </row>
    <row r="199">
      <c r="B199" s="96"/>
      <c r="C199" s="76" t="s">
        <v>81</v>
      </c>
      <c r="H199" s="103">
        <f>'Rec.Data System-IN'!S19</f>
        <v>4326375</v>
      </c>
      <c r="I199" s="97">
        <f t="shared" si="6"/>
        <v>4326375</v>
      </c>
    </row>
    <row r="200" ht="25.5" customHeight="1">
      <c r="B200" s="96"/>
      <c r="C200" s="65" t="s">
        <v>83</v>
      </c>
      <c r="F200" s="77">
        <f>I161</f>
        <v>21707189</v>
      </c>
      <c r="H200" s="77">
        <f>SUM(H198:H199)</f>
        <v>9935063</v>
      </c>
      <c r="I200" s="97">
        <f t="shared" si="6"/>
        <v>31642252</v>
      </c>
    </row>
    <row r="201">
      <c r="B201" s="96"/>
      <c r="C201" s="76" t="s">
        <v>31</v>
      </c>
      <c r="F201" s="77">
        <f>I166</f>
        <v>0</v>
      </c>
      <c r="H201" s="77">
        <f>'Rec.Data System-IN'!T19</f>
        <v>0</v>
      </c>
      <c r="I201" s="97">
        <f t="shared" si="6"/>
        <v>0</v>
      </c>
    </row>
    <row r="202">
      <c r="B202" s="96"/>
      <c r="C202" s="76" t="s">
        <v>32</v>
      </c>
      <c r="F202" s="77">
        <f>I171</f>
        <v>2678000</v>
      </c>
      <c r="H202" s="77">
        <f>'Rec.Data System-IN'!U19</f>
        <v>972000</v>
      </c>
      <c r="I202" s="97">
        <f t="shared" si="6"/>
        <v>3650000</v>
      </c>
    </row>
    <row r="203">
      <c r="B203" s="96"/>
      <c r="C203" s="76" t="s">
        <v>33</v>
      </c>
      <c r="F203" s="77">
        <f>I176</f>
        <v>0</v>
      </c>
      <c r="H203" s="77">
        <f>'Rec.Data System-IN'!V19</f>
        <v>0</v>
      </c>
      <c r="I203" s="97">
        <f t="shared" si="6"/>
        <v>0</v>
      </c>
    </row>
    <row r="204">
      <c r="B204" s="96"/>
      <c r="C204" s="76" t="s">
        <v>34</v>
      </c>
      <c r="F204" s="103">
        <f>I181</f>
        <v>0</v>
      </c>
      <c r="H204" s="77">
        <f>'Rec.Data System-IN'!W19</f>
        <v>0</v>
      </c>
      <c r="I204" s="97">
        <f t="shared" si="6"/>
        <v>0</v>
      </c>
    </row>
    <row r="205">
      <c r="B205" s="96"/>
      <c r="I205" s="97"/>
    </row>
    <row r="206" ht="15.75">
      <c r="B206" s="96"/>
      <c r="C206" s="76" t="s">
        <v>90</v>
      </c>
      <c r="I206" s="104">
        <f>SUM(I200:I204)</f>
        <v>35292252</v>
      </c>
    </row>
    <row r="207" ht="15">
      <c r="B207" s="96"/>
      <c r="I207" s="97"/>
    </row>
    <row r="208" ht="21.75">
      <c r="B208" s="105"/>
      <c r="C208" s="106" t="s">
        <v>93</v>
      </c>
      <c r="D208" s="106"/>
      <c r="E208" s="106"/>
      <c r="F208" s="106"/>
      <c r="G208" s="106"/>
      <c r="H208" s="106"/>
      <c r="I208" s="107"/>
    </row>
    <row r="209">
      <c r="B209" s="96"/>
      <c r="F209" s="76"/>
      <c r="H209" s="76"/>
      <c r="I209" s="97"/>
    </row>
    <row r="210" ht="21.75">
      <c r="B210" s="98"/>
      <c r="C210" s="99" t="s">
        <v>96</v>
      </c>
      <c r="D210" s="100"/>
      <c r="E210" s="99" t="s">
        <v>97</v>
      </c>
      <c r="F210" s="108" t="s">
        <v>98</v>
      </c>
      <c r="G210" s="101"/>
      <c r="H210" s="101"/>
      <c r="I210" s="102"/>
    </row>
    <row r="211">
      <c r="B211" s="109"/>
      <c r="F211" s="76" t="s">
        <v>100</v>
      </c>
      <c r="H211" s="110"/>
      <c r="I211" s="97"/>
    </row>
    <row r="212">
      <c r="B212" s="109"/>
      <c r="F212" s="76"/>
      <c r="H212" s="110"/>
      <c r="I212" s="97"/>
    </row>
    <row r="213">
      <c r="B213" s="109">
        <v>1</v>
      </c>
      <c r="F213" s="76" t="s">
        <v>103</v>
      </c>
      <c r="G213" s="76"/>
      <c r="H213" s="111">
        <v>0</v>
      </c>
      <c r="I213" s="97"/>
    </row>
    <row r="214">
      <c r="B214" s="109">
        <v>2</v>
      </c>
      <c r="F214" s="76" t="s">
        <v>103</v>
      </c>
      <c r="G214" s="76"/>
      <c r="H214" s="111">
        <v>0</v>
      </c>
      <c r="I214" s="97"/>
    </row>
    <row r="215">
      <c r="B215" s="109">
        <v>3</v>
      </c>
      <c r="F215" s="76" t="s">
        <v>103</v>
      </c>
      <c r="G215" s="76"/>
      <c r="H215" s="111">
        <v>0</v>
      </c>
      <c r="I215" s="97"/>
    </row>
    <row r="216">
      <c r="B216" s="109">
        <v>4</v>
      </c>
      <c r="F216" s="76" t="s">
        <v>103</v>
      </c>
      <c r="G216" s="76"/>
      <c r="H216" s="111">
        <v>0</v>
      </c>
      <c r="I216" s="97"/>
    </row>
    <row r="217">
      <c r="B217" s="109">
        <v>5</v>
      </c>
      <c r="F217" s="76" t="s">
        <v>103</v>
      </c>
      <c r="G217" s="76"/>
      <c r="H217" s="111">
        <v>0</v>
      </c>
      <c r="I217" s="97"/>
      <c r="N217" s="77"/>
      <c r="O217" s="77"/>
    </row>
    <row r="218" ht="16.5">
      <c r="B218" s="109">
        <v>6</v>
      </c>
      <c r="F218" s="76" t="s">
        <v>103</v>
      </c>
      <c r="G218" s="76"/>
      <c r="H218" s="112">
        <v>0</v>
      </c>
      <c r="I218" s="97"/>
      <c r="N218" s="77"/>
      <c r="O218" s="77"/>
    </row>
    <row r="219">
      <c r="B219" s="109"/>
      <c r="C219" s="113" t="s">
        <v>106</v>
      </c>
      <c r="F219" s="76"/>
      <c r="G219" s="76"/>
      <c r="H219" s="111">
        <f>SUM(H213:H218)</f>
        <v>0</v>
      </c>
      <c r="I219" s="97">
        <f>I200-H219</f>
        <v>31642252</v>
      </c>
      <c r="N219" s="77"/>
      <c r="O219" s="77"/>
    </row>
    <row r="220">
      <c r="B220" s="109">
        <v>1</v>
      </c>
      <c r="F220" s="76" t="s">
        <v>31</v>
      </c>
      <c r="G220" s="76"/>
      <c r="H220" s="111">
        <v>0</v>
      </c>
      <c r="I220" s="97"/>
      <c r="N220" s="77"/>
      <c r="O220" s="77"/>
    </row>
    <row r="221">
      <c r="B221" s="109">
        <v>2</v>
      </c>
      <c r="F221" s="76" t="s">
        <v>31</v>
      </c>
      <c r="G221" s="76"/>
      <c r="H221" s="111">
        <v>0</v>
      </c>
      <c r="I221" s="97"/>
      <c r="N221" s="77"/>
      <c r="O221" s="77"/>
    </row>
    <row r="222">
      <c r="B222" s="109">
        <v>3</v>
      </c>
      <c r="F222" s="76" t="s">
        <v>31</v>
      </c>
      <c r="G222" s="76"/>
      <c r="H222" s="111">
        <v>0</v>
      </c>
      <c r="I222" s="97"/>
      <c r="N222" s="77"/>
      <c r="O222" s="77"/>
    </row>
    <row r="223" ht="16.5">
      <c r="B223" s="109">
        <v>4</v>
      </c>
      <c r="F223" s="76" t="s">
        <v>31</v>
      </c>
      <c r="G223" s="76"/>
      <c r="H223" s="112">
        <v>0</v>
      </c>
      <c r="I223" s="97"/>
      <c r="N223" s="77"/>
      <c r="O223" s="77"/>
    </row>
    <row r="224">
      <c r="B224" s="109"/>
      <c r="C224" s="113" t="s">
        <v>112</v>
      </c>
      <c r="F224" s="76"/>
      <c r="G224" s="76"/>
      <c r="H224" s="111">
        <f>SUM(H220:H223)</f>
        <v>0</v>
      </c>
      <c r="I224" s="97">
        <f>I201-H224</f>
        <v>0</v>
      </c>
      <c r="N224" s="77"/>
      <c r="O224" s="77"/>
    </row>
    <row r="225">
      <c r="B225" s="109">
        <v>1</v>
      </c>
      <c r="F225" s="76" t="s">
        <v>32</v>
      </c>
      <c r="G225" s="76"/>
      <c r="H225" s="111">
        <v>0</v>
      </c>
      <c r="I225" s="97"/>
      <c r="N225" s="77"/>
      <c r="O225" s="77"/>
    </row>
    <row r="226">
      <c r="B226" s="109">
        <v>2</v>
      </c>
      <c r="F226" s="76" t="s">
        <v>32</v>
      </c>
      <c r="G226" s="76"/>
      <c r="H226" s="111">
        <v>0</v>
      </c>
      <c r="I226" s="97"/>
      <c r="N226" s="77"/>
      <c r="O226" s="77"/>
    </row>
    <row r="227">
      <c r="B227" s="109">
        <v>3</v>
      </c>
      <c r="F227" s="76" t="s">
        <v>32</v>
      </c>
      <c r="G227" s="76"/>
      <c r="H227" s="111">
        <v>0</v>
      </c>
      <c r="I227" s="97"/>
      <c r="N227" s="77"/>
      <c r="O227" s="77"/>
    </row>
    <row r="228" ht="16.5">
      <c r="B228" s="109">
        <v>4</v>
      </c>
      <c r="F228" s="76" t="s">
        <v>32</v>
      </c>
      <c r="G228" s="76"/>
      <c r="H228" s="112">
        <v>0</v>
      </c>
      <c r="I228" s="97"/>
      <c r="N228" s="77"/>
      <c r="O228" s="77"/>
    </row>
    <row r="229">
      <c r="B229" s="109"/>
      <c r="C229" s="113" t="s">
        <v>116</v>
      </c>
      <c r="F229" s="76"/>
      <c r="G229" s="76"/>
      <c r="H229" s="111">
        <f>SUM(H225:H228)</f>
        <v>0</v>
      </c>
      <c r="I229" s="97">
        <f>I202-H229</f>
        <v>3650000</v>
      </c>
      <c r="N229" s="77"/>
      <c r="O229" s="77"/>
    </row>
    <row r="230">
      <c r="B230" s="109">
        <v>1</v>
      </c>
      <c r="F230" s="76" t="s">
        <v>33</v>
      </c>
      <c r="G230" s="76"/>
      <c r="H230" s="111">
        <v>0</v>
      </c>
      <c r="I230" s="97"/>
      <c r="N230" s="77"/>
      <c r="O230" s="77"/>
    </row>
    <row r="231">
      <c r="B231" s="109">
        <v>2</v>
      </c>
      <c r="F231" s="76" t="s">
        <v>33</v>
      </c>
      <c r="G231" s="76"/>
      <c r="H231" s="111">
        <v>0</v>
      </c>
      <c r="I231" s="97"/>
      <c r="N231" s="77"/>
      <c r="O231" s="77"/>
    </row>
    <row r="232">
      <c r="B232" s="109">
        <v>3</v>
      </c>
      <c r="F232" s="76" t="s">
        <v>33</v>
      </c>
      <c r="G232" s="76"/>
      <c r="H232" s="111">
        <v>0</v>
      </c>
      <c r="I232" s="97"/>
      <c r="N232" s="77"/>
      <c r="O232" s="77"/>
    </row>
    <row r="233" ht="16.5">
      <c r="B233" s="109">
        <v>4</v>
      </c>
      <c r="F233" s="76" t="s">
        <v>33</v>
      </c>
      <c r="G233" s="76"/>
      <c r="H233" s="112">
        <v>0</v>
      </c>
      <c r="I233" s="97"/>
      <c r="N233" s="77"/>
      <c r="O233" s="77"/>
    </row>
    <row r="234">
      <c r="B234" s="109"/>
      <c r="C234" s="113" t="s">
        <v>117</v>
      </c>
      <c r="F234" s="76"/>
      <c r="G234" s="76"/>
      <c r="H234" s="111">
        <f>SUM(H230:H233)</f>
        <v>0</v>
      </c>
      <c r="I234" s="97">
        <f>I203-H234</f>
        <v>0</v>
      </c>
      <c r="N234" s="77"/>
      <c r="O234" s="77"/>
    </row>
    <row r="235">
      <c r="B235" s="109">
        <v>1</v>
      </c>
      <c r="F235" s="76" t="s">
        <v>118</v>
      </c>
      <c r="G235" s="76"/>
      <c r="H235" s="111">
        <v>0</v>
      </c>
      <c r="I235" s="97"/>
      <c r="N235" s="77"/>
      <c r="O235" s="77"/>
    </row>
    <row r="236">
      <c r="B236" s="109">
        <v>2</v>
      </c>
      <c r="F236" s="76" t="s">
        <v>118</v>
      </c>
      <c r="G236" s="76"/>
      <c r="H236" s="111">
        <v>0</v>
      </c>
      <c r="I236" s="97"/>
      <c r="N236" s="77"/>
      <c r="O236" s="77"/>
    </row>
    <row r="237">
      <c r="B237" s="109">
        <v>3</v>
      </c>
      <c r="F237" s="76" t="s">
        <v>118</v>
      </c>
      <c r="G237" s="76"/>
      <c r="H237" s="111">
        <v>0</v>
      </c>
      <c r="I237" s="97"/>
      <c r="N237" s="77"/>
      <c r="O237" s="77"/>
    </row>
    <row r="238" ht="16.5">
      <c r="B238" s="109">
        <v>4</v>
      </c>
      <c r="F238" s="76" t="s">
        <v>118</v>
      </c>
      <c r="G238" s="76"/>
      <c r="H238" s="112">
        <v>0</v>
      </c>
      <c r="I238" s="97"/>
      <c r="N238" s="77"/>
      <c r="O238" s="77"/>
    </row>
    <row r="239">
      <c r="B239" s="109"/>
      <c r="C239" s="113" t="s">
        <v>121</v>
      </c>
      <c r="F239" s="76"/>
      <c r="G239" s="76"/>
      <c r="H239" s="111">
        <f>SUM(H235:H238)</f>
        <v>0</v>
      </c>
      <c r="I239" s="97">
        <f>I204-H239</f>
        <v>0</v>
      </c>
      <c r="N239" s="77"/>
      <c r="O239" s="77"/>
    </row>
    <row r="240">
      <c r="B240" s="96"/>
      <c r="I240" s="97"/>
    </row>
    <row r="241" ht="15">
      <c r="B241" s="96"/>
      <c r="C241" s="76" t="s">
        <v>122</v>
      </c>
      <c r="H241" s="114">
        <f>H219+H224+H229+H234+H239</f>
        <v>0</v>
      </c>
      <c r="I241" s="115"/>
    </row>
    <row r="242">
      <c r="B242" s="96"/>
      <c r="I242" s="97"/>
    </row>
    <row r="243" ht="15">
      <c r="B243" s="96"/>
      <c r="C243" s="76" t="s">
        <v>123</v>
      </c>
      <c r="H243" s="76"/>
      <c r="I243" s="116">
        <f>I206-H241</f>
        <v>35292252</v>
      </c>
    </row>
    <row r="244">
      <c r="B244" s="117"/>
      <c r="C244" s="118"/>
      <c r="D244" s="118"/>
      <c r="E244" s="118"/>
      <c r="F244" s="119"/>
      <c r="G244" s="119"/>
      <c r="H244" s="119"/>
      <c r="I244" s="120"/>
    </row>
    <row r="248" ht="28.899999999999999" customHeight="1">
      <c r="B248" s="88" t="str">
        <f>B16</f>
        <v xml:space="preserve">CIBINONG KOTA</v>
      </c>
      <c r="C248" s="89"/>
      <c r="D248" s="89"/>
      <c r="E248" s="89"/>
      <c r="F248" s="89"/>
      <c r="G248" s="89"/>
      <c r="H248" s="89"/>
      <c r="I248" s="89"/>
    </row>
    <row r="249" ht="21.75">
      <c r="B249" s="90" t="s">
        <v>69</v>
      </c>
      <c r="C249" s="90"/>
      <c r="D249" s="90"/>
      <c r="E249" s="90"/>
      <c r="F249" s="90"/>
      <c r="G249" s="90"/>
      <c r="H249" s="90"/>
      <c r="I249" s="91"/>
    </row>
    <row r="250" ht="21.75">
      <c r="B250" s="86" t="s">
        <v>127</v>
      </c>
      <c r="C250" s="86"/>
      <c r="D250" s="86"/>
      <c r="E250" s="86"/>
      <c r="F250" s="86"/>
      <c r="G250" s="86"/>
      <c r="H250" s="86"/>
      <c r="I250" s="92"/>
    </row>
    <row r="252" ht="21.75">
      <c r="B252" s="93"/>
      <c r="C252" s="94" t="s">
        <v>71</v>
      </c>
      <c r="D252" s="94"/>
      <c r="E252" s="94"/>
      <c r="F252" s="94"/>
      <c r="G252" s="94"/>
      <c r="H252" s="94"/>
      <c r="I252" s="95"/>
    </row>
    <row r="253">
      <c r="B253" s="96"/>
      <c r="I253" s="97"/>
    </row>
    <row r="254" ht="21.75">
      <c r="B254" s="98"/>
      <c r="C254" s="99" t="s">
        <v>74</v>
      </c>
      <c r="D254" s="100"/>
      <c r="E254" s="100"/>
      <c r="F254" s="101" t="s">
        <v>75</v>
      </c>
      <c r="G254" s="101"/>
      <c r="H254" s="101" t="s">
        <v>76</v>
      </c>
      <c r="I254" s="102" t="s">
        <v>28</v>
      </c>
    </row>
    <row r="255">
      <c r="B255" s="96"/>
      <c r="I255" s="97"/>
    </row>
    <row r="256">
      <c r="B256" s="96"/>
      <c r="C256" s="76" t="s">
        <v>79</v>
      </c>
      <c r="H256" s="77">
        <f>'Rec.Data System-IN'!R20</f>
        <v>3069688</v>
      </c>
      <c r="I256" s="97">
        <f t="shared" ref="I256:I262" si="7">F256+H256</f>
        <v>3069688</v>
      </c>
    </row>
    <row r="257">
      <c r="B257" s="96"/>
      <c r="C257" s="76" t="s">
        <v>81</v>
      </c>
      <c r="H257" s="103">
        <f>'Rec.Data System-IN'!S20</f>
        <v>1427375</v>
      </c>
      <c r="I257" s="97">
        <f t="shared" si="7"/>
        <v>1427375</v>
      </c>
    </row>
    <row r="258" ht="25.5" customHeight="1">
      <c r="B258" s="96"/>
      <c r="C258" s="65" t="s">
        <v>83</v>
      </c>
      <c r="F258" s="77">
        <f>I219</f>
        <v>31642252</v>
      </c>
      <c r="H258" s="77">
        <f>SUM(H256:H257)</f>
        <v>4497063</v>
      </c>
      <c r="I258" s="97">
        <f t="shared" si="7"/>
        <v>36139315</v>
      </c>
    </row>
    <row r="259">
      <c r="B259" s="96"/>
      <c r="C259" s="76" t="s">
        <v>31</v>
      </c>
      <c r="F259" s="77">
        <f>I224</f>
        <v>0</v>
      </c>
      <c r="H259" s="77">
        <f>'Rec.Data System-IN'!T20</f>
        <v>0</v>
      </c>
      <c r="I259" s="97">
        <f t="shared" si="7"/>
        <v>0</v>
      </c>
    </row>
    <row r="260">
      <c r="B260" s="96"/>
      <c r="C260" s="76" t="s">
        <v>32</v>
      </c>
      <c r="F260" s="77">
        <f>I229</f>
        <v>3650000</v>
      </c>
      <c r="H260" s="77">
        <f>'Rec.Data System-IN'!U20</f>
        <v>322000</v>
      </c>
      <c r="I260" s="97">
        <f t="shared" si="7"/>
        <v>3972000</v>
      </c>
    </row>
    <row r="261">
      <c r="B261" s="96"/>
      <c r="C261" s="76" t="s">
        <v>33</v>
      </c>
      <c r="F261" s="77">
        <f>I234</f>
        <v>0</v>
      </c>
      <c r="H261" s="77">
        <f>'Rec.Data System-IN'!V20</f>
        <v>0</v>
      </c>
      <c r="I261" s="97">
        <f t="shared" si="7"/>
        <v>0</v>
      </c>
    </row>
    <row r="262">
      <c r="B262" s="96"/>
      <c r="C262" s="76" t="s">
        <v>34</v>
      </c>
      <c r="F262" s="103">
        <f>I239</f>
        <v>0</v>
      </c>
      <c r="H262" s="77">
        <f>'Rec.Data System-IN'!W20</f>
        <v>0</v>
      </c>
      <c r="I262" s="97">
        <f t="shared" si="7"/>
        <v>0</v>
      </c>
    </row>
    <row r="263">
      <c r="B263" s="96"/>
      <c r="I263" s="97"/>
    </row>
    <row r="264" ht="15.75">
      <c r="B264" s="96"/>
      <c r="C264" s="76" t="s">
        <v>90</v>
      </c>
      <c r="I264" s="104">
        <f>SUM(I258:I262)</f>
        <v>40111315</v>
      </c>
    </row>
    <row r="265" ht="15">
      <c r="B265" s="96"/>
      <c r="I265" s="97"/>
    </row>
    <row r="266" ht="21.75">
      <c r="B266" s="105"/>
      <c r="C266" s="106" t="s">
        <v>93</v>
      </c>
      <c r="D266" s="106"/>
      <c r="E266" s="106"/>
      <c r="F266" s="106"/>
      <c r="G266" s="106"/>
      <c r="H266" s="106"/>
      <c r="I266" s="107"/>
    </row>
    <row r="267">
      <c r="B267" s="96"/>
      <c r="F267" s="76"/>
      <c r="H267" s="76"/>
      <c r="I267" s="97"/>
    </row>
    <row r="268" ht="21.75">
      <c r="B268" s="98"/>
      <c r="C268" s="99" t="s">
        <v>96</v>
      </c>
      <c r="D268" s="100"/>
      <c r="E268" s="99" t="s">
        <v>97</v>
      </c>
      <c r="F268" s="108" t="s">
        <v>98</v>
      </c>
      <c r="G268" s="101"/>
      <c r="H268" s="101"/>
      <c r="I268" s="102"/>
    </row>
    <row r="269">
      <c r="B269" s="109"/>
      <c r="F269" s="76" t="s">
        <v>100</v>
      </c>
      <c r="H269" s="110"/>
      <c r="I269" s="97"/>
    </row>
    <row r="270">
      <c r="B270" s="109"/>
      <c r="F270" s="76"/>
      <c r="H270" s="110"/>
      <c r="I270" s="97"/>
    </row>
    <row r="271">
      <c r="B271" s="109">
        <v>1</v>
      </c>
      <c r="F271" s="76" t="s">
        <v>103</v>
      </c>
      <c r="G271" s="76"/>
      <c r="H271" s="111">
        <v>0</v>
      </c>
      <c r="I271" s="97"/>
    </row>
    <row r="272">
      <c r="B272" s="109">
        <v>2</v>
      </c>
      <c r="F272" s="76" t="s">
        <v>103</v>
      </c>
      <c r="G272" s="76"/>
      <c r="H272" s="111">
        <v>0</v>
      </c>
      <c r="I272" s="97"/>
    </row>
    <row r="273">
      <c r="B273" s="109">
        <v>3</v>
      </c>
      <c r="F273" s="76" t="s">
        <v>103</v>
      </c>
      <c r="G273" s="76"/>
      <c r="H273" s="111">
        <v>0</v>
      </c>
      <c r="I273" s="97"/>
    </row>
    <row r="274">
      <c r="B274" s="109">
        <v>4</v>
      </c>
      <c r="F274" s="76" t="s">
        <v>103</v>
      </c>
      <c r="G274" s="76"/>
      <c r="H274" s="111">
        <v>0</v>
      </c>
      <c r="I274" s="97"/>
    </row>
    <row r="275">
      <c r="B275" s="109">
        <v>5</v>
      </c>
      <c r="F275" s="76" t="s">
        <v>103</v>
      </c>
      <c r="G275" s="76"/>
      <c r="H275" s="111">
        <v>0</v>
      </c>
      <c r="I275" s="97"/>
      <c r="N275" s="77"/>
      <c r="O275" s="77"/>
    </row>
    <row r="276" ht="16.5">
      <c r="B276" s="109">
        <v>6</v>
      </c>
      <c r="F276" s="76" t="s">
        <v>103</v>
      </c>
      <c r="G276" s="76"/>
      <c r="H276" s="112">
        <v>0</v>
      </c>
      <c r="I276" s="97"/>
      <c r="N276" s="77"/>
      <c r="O276" s="77"/>
    </row>
    <row r="277">
      <c r="B277" s="109"/>
      <c r="C277" s="113" t="s">
        <v>106</v>
      </c>
      <c r="F277" s="76"/>
      <c r="G277" s="76"/>
      <c r="H277" s="111">
        <f>SUM(H271:H276)</f>
        <v>0</v>
      </c>
      <c r="I277" s="97">
        <f>I258-H277</f>
        <v>36139315</v>
      </c>
      <c r="N277" s="77"/>
      <c r="O277" s="77"/>
    </row>
    <row r="278">
      <c r="B278" s="109">
        <v>1</v>
      </c>
      <c r="F278" s="76" t="s">
        <v>31</v>
      </c>
      <c r="G278" s="76"/>
      <c r="H278" s="111">
        <v>0</v>
      </c>
      <c r="I278" s="97"/>
      <c r="N278" s="77"/>
      <c r="O278" s="77"/>
    </row>
    <row r="279">
      <c r="B279" s="109">
        <v>2</v>
      </c>
      <c r="F279" s="76" t="s">
        <v>31</v>
      </c>
      <c r="G279" s="76"/>
      <c r="H279" s="111">
        <v>0</v>
      </c>
      <c r="I279" s="97"/>
      <c r="N279" s="77"/>
      <c r="O279" s="77"/>
    </row>
    <row r="280">
      <c r="B280" s="109">
        <v>3</v>
      </c>
      <c r="F280" s="76" t="s">
        <v>31</v>
      </c>
      <c r="G280" s="76"/>
      <c r="H280" s="111">
        <v>0</v>
      </c>
      <c r="I280" s="97"/>
      <c r="N280" s="77"/>
      <c r="O280" s="77"/>
    </row>
    <row r="281" ht="16.5">
      <c r="B281" s="109">
        <v>4</v>
      </c>
      <c r="F281" s="76" t="s">
        <v>31</v>
      </c>
      <c r="G281" s="76"/>
      <c r="H281" s="112">
        <v>0</v>
      </c>
      <c r="I281" s="97"/>
      <c r="N281" s="77"/>
      <c r="O281" s="77"/>
    </row>
    <row r="282">
      <c r="B282" s="109"/>
      <c r="C282" s="113" t="s">
        <v>112</v>
      </c>
      <c r="F282" s="76"/>
      <c r="G282" s="76"/>
      <c r="H282" s="111">
        <f>SUM(H278:H281)</f>
        <v>0</v>
      </c>
      <c r="I282" s="97">
        <f>I259-H282</f>
        <v>0</v>
      </c>
      <c r="N282" s="77"/>
      <c r="O282" s="77"/>
    </row>
    <row r="283">
      <c r="B283" s="109">
        <v>1</v>
      </c>
      <c r="F283" s="76" t="s">
        <v>32</v>
      </c>
      <c r="G283" s="76"/>
      <c r="H283" s="111">
        <v>0</v>
      </c>
      <c r="I283" s="97"/>
      <c r="N283" s="77"/>
      <c r="O283" s="77"/>
    </row>
    <row r="284">
      <c r="B284" s="109">
        <v>2</v>
      </c>
      <c r="F284" s="76" t="s">
        <v>32</v>
      </c>
      <c r="G284" s="76"/>
      <c r="H284" s="111">
        <v>0</v>
      </c>
      <c r="I284" s="97"/>
      <c r="N284" s="77"/>
      <c r="O284" s="77"/>
    </row>
    <row r="285">
      <c r="B285" s="109">
        <v>3</v>
      </c>
      <c r="F285" s="76" t="s">
        <v>32</v>
      </c>
      <c r="G285" s="76"/>
      <c r="H285" s="111">
        <v>0</v>
      </c>
      <c r="I285" s="97"/>
      <c r="N285" s="77"/>
      <c r="O285" s="77"/>
    </row>
    <row r="286" ht="16.5">
      <c r="B286" s="109">
        <v>4</v>
      </c>
      <c r="F286" s="76" t="s">
        <v>32</v>
      </c>
      <c r="G286" s="76"/>
      <c r="H286" s="112">
        <v>0</v>
      </c>
      <c r="I286" s="97"/>
      <c r="N286" s="77"/>
      <c r="O286" s="77"/>
    </row>
    <row r="287">
      <c r="B287" s="109"/>
      <c r="C287" s="113" t="s">
        <v>116</v>
      </c>
      <c r="F287" s="76"/>
      <c r="G287" s="76"/>
      <c r="H287" s="111">
        <f>SUM(H283:H286)</f>
        <v>0</v>
      </c>
      <c r="I287" s="97">
        <f>I260-H287</f>
        <v>3972000</v>
      </c>
      <c r="N287" s="77"/>
      <c r="O287" s="77"/>
    </row>
    <row r="288">
      <c r="B288" s="109">
        <v>1</v>
      </c>
      <c r="F288" s="76" t="s">
        <v>33</v>
      </c>
      <c r="G288" s="76"/>
      <c r="H288" s="111">
        <v>0</v>
      </c>
      <c r="I288" s="97"/>
      <c r="N288" s="77"/>
      <c r="O288" s="77"/>
    </row>
    <row r="289">
      <c r="B289" s="109">
        <v>2</v>
      </c>
      <c r="F289" s="76" t="s">
        <v>33</v>
      </c>
      <c r="G289" s="76"/>
      <c r="H289" s="111">
        <v>0</v>
      </c>
      <c r="I289" s="97"/>
      <c r="N289" s="77"/>
      <c r="O289" s="77"/>
    </row>
    <row r="290">
      <c r="B290" s="109">
        <v>3</v>
      </c>
      <c r="F290" s="76" t="s">
        <v>33</v>
      </c>
      <c r="G290" s="76"/>
      <c r="H290" s="111">
        <v>0</v>
      </c>
      <c r="I290" s="97"/>
      <c r="N290" s="77"/>
      <c r="O290" s="77"/>
    </row>
    <row r="291" ht="16.5">
      <c r="B291" s="109">
        <v>4</v>
      </c>
      <c r="F291" s="76" t="s">
        <v>33</v>
      </c>
      <c r="G291" s="76"/>
      <c r="H291" s="112">
        <v>0</v>
      </c>
      <c r="I291" s="97"/>
      <c r="N291" s="77"/>
      <c r="O291" s="77"/>
    </row>
    <row r="292">
      <c r="B292" s="109"/>
      <c r="C292" s="113" t="s">
        <v>117</v>
      </c>
      <c r="F292" s="76"/>
      <c r="G292" s="76"/>
      <c r="H292" s="111">
        <f>SUM(H288:H291)</f>
        <v>0</v>
      </c>
      <c r="I292" s="97">
        <f>I261-H292</f>
        <v>0</v>
      </c>
      <c r="N292" s="77"/>
      <c r="O292" s="77"/>
    </row>
    <row r="293">
      <c r="B293" s="109">
        <v>1</v>
      </c>
      <c r="F293" s="76" t="s">
        <v>118</v>
      </c>
      <c r="G293" s="76"/>
      <c r="H293" s="111">
        <v>0</v>
      </c>
      <c r="I293" s="97"/>
      <c r="N293" s="77"/>
      <c r="O293" s="77"/>
    </row>
    <row r="294">
      <c r="B294" s="109">
        <v>2</v>
      </c>
      <c r="F294" s="76" t="s">
        <v>118</v>
      </c>
      <c r="G294" s="76"/>
      <c r="H294" s="111">
        <v>0</v>
      </c>
      <c r="I294" s="97"/>
      <c r="N294" s="77"/>
      <c r="O294" s="77"/>
    </row>
    <row r="295">
      <c r="B295" s="109">
        <v>3</v>
      </c>
      <c r="F295" s="76" t="s">
        <v>118</v>
      </c>
      <c r="G295" s="76"/>
      <c r="H295" s="111">
        <v>0</v>
      </c>
      <c r="I295" s="97"/>
      <c r="N295" s="77"/>
      <c r="O295" s="77"/>
    </row>
    <row r="296" ht="16.5">
      <c r="B296" s="109">
        <v>4</v>
      </c>
      <c r="F296" s="76" t="s">
        <v>118</v>
      </c>
      <c r="G296" s="76"/>
      <c r="H296" s="112">
        <v>0</v>
      </c>
      <c r="I296" s="97"/>
      <c r="N296" s="77"/>
      <c r="O296" s="77"/>
    </row>
    <row r="297">
      <c r="B297" s="109"/>
      <c r="C297" s="113" t="s">
        <v>121</v>
      </c>
      <c r="F297" s="76"/>
      <c r="G297" s="76"/>
      <c r="H297" s="111">
        <f>SUM(H293:H296)</f>
        <v>0</v>
      </c>
      <c r="I297" s="97">
        <f>I262-H297</f>
        <v>0</v>
      </c>
      <c r="N297" s="77"/>
      <c r="O297" s="77"/>
    </row>
    <row r="298">
      <c r="B298" s="96"/>
      <c r="I298" s="97"/>
    </row>
    <row r="299" ht="15">
      <c r="B299" s="96"/>
      <c r="C299" s="76" t="s">
        <v>122</v>
      </c>
      <c r="H299" s="114">
        <f>H277+H282+H287+H292+H297</f>
        <v>0</v>
      </c>
      <c r="I299" s="115"/>
    </row>
    <row r="300">
      <c r="B300" s="96"/>
      <c r="I300" s="97"/>
    </row>
    <row r="301" ht="15">
      <c r="B301" s="96"/>
      <c r="C301" s="76" t="s">
        <v>123</v>
      </c>
      <c r="H301" s="76"/>
      <c r="I301" s="116">
        <f>I264-H299</f>
        <v>40111315</v>
      </c>
    </row>
    <row r="302">
      <c r="B302" s="117"/>
      <c r="C302" s="118"/>
      <c r="D302" s="118"/>
      <c r="E302" s="118"/>
      <c r="F302" s="119"/>
      <c r="G302" s="119"/>
      <c r="H302" s="119"/>
      <c r="I302" s="120"/>
    </row>
    <row r="306" ht="28.899999999999999" customHeight="1">
      <c r="B306" s="88" t="str">
        <f>B16</f>
        <v xml:space="preserve">CIBINONG KOTA</v>
      </c>
      <c r="C306" s="89"/>
      <c r="D306" s="89"/>
      <c r="E306" s="89"/>
      <c r="F306" s="89"/>
      <c r="G306" s="89"/>
      <c r="H306" s="89"/>
      <c r="I306" s="89"/>
    </row>
    <row r="307" ht="21.75">
      <c r="B307" s="90" t="s">
        <v>69</v>
      </c>
      <c r="C307" s="90"/>
      <c r="D307" s="90"/>
      <c r="E307" s="90"/>
      <c r="F307" s="90"/>
      <c r="G307" s="90"/>
      <c r="H307" s="90"/>
      <c r="I307" s="91"/>
    </row>
    <row r="308" ht="21.75">
      <c r="B308" s="86" t="s">
        <v>128</v>
      </c>
      <c r="C308" s="86"/>
      <c r="D308" s="86"/>
      <c r="E308" s="86"/>
      <c r="F308" s="86"/>
      <c r="G308" s="86"/>
      <c r="H308" s="86"/>
      <c r="I308" s="92"/>
    </row>
    <row r="310" ht="21.75">
      <c r="B310" s="93"/>
      <c r="C310" s="94" t="s">
        <v>71</v>
      </c>
      <c r="D310" s="94"/>
      <c r="E310" s="94"/>
      <c r="F310" s="94"/>
      <c r="G310" s="94"/>
      <c r="H310" s="94"/>
      <c r="I310" s="95"/>
    </row>
    <row r="311">
      <c r="B311" s="96"/>
      <c r="I311" s="97"/>
    </row>
    <row r="312" ht="21.75">
      <c r="B312" s="98"/>
      <c r="C312" s="99" t="s">
        <v>74</v>
      </c>
      <c r="D312" s="100"/>
      <c r="E312" s="100"/>
      <c r="F312" s="101" t="s">
        <v>75</v>
      </c>
      <c r="G312" s="101"/>
      <c r="H312" s="101" t="s">
        <v>76</v>
      </c>
      <c r="I312" s="102" t="s">
        <v>28</v>
      </c>
    </row>
    <row r="313">
      <c r="B313" s="96"/>
      <c r="I313" s="97"/>
    </row>
    <row r="314">
      <c r="B314" s="96"/>
      <c r="C314" s="76" t="s">
        <v>79</v>
      </c>
      <c r="H314" s="77">
        <f>'Rec.Data System-IN'!R21</f>
        <v>0</v>
      </c>
      <c r="I314" s="97">
        <f t="shared" ref="I314:I320" si="8">F314+H314</f>
        <v>0</v>
      </c>
    </row>
    <row r="315">
      <c r="B315" s="96"/>
      <c r="C315" s="76" t="s">
        <v>81</v>
      </c>
      <c r="H315" s="103">
        <f>'Rec.Data System-IN'!S21</f>
        <v>0</v>
      </c>
      <c r="I315" s="97">
        <f t="shared" si="8"/>
        <v>0</v>
      </c>
    </row>
    <row r="316" ht="25.5" customHeight="1">
      <c r="B316" s="96"/>
      <c r="C316" s="65" t="s">
        <v>83</v>
      </c>
      <c r="F316" s="77">
        <f>I277</f>
        <v>36139315</v>
      </c>
      <c r="H316" s="77">
        <f>SUM(H314:H315)</f>
        <v>0</v>
      </c>
      <c r="I316" s="97">
        <f t="shared" si="8"/>
        <v>36139315</v>
      </c>
    </row>
    <row r="317">
      <c r="B317" s="96"/>
      <c r="C317" s="76" t="s">
        <v>31</v>
      </c>
      <c r="F317" s="77">
        <f>I282</f>
        <v>0</v>
      </c>
      <c r="H317" s="77">
        <f>'Rec.Data System-IN'!T21</f>
        <v>0</v>
      </c>
      <c r="I317" s="97">
        <f t="shared" si="8"/>
        <v>0</v>
      </c>
    </row>
    <row r="318">
      <c r="B318" s="96"/>
      <c r="C318" s="76" t="s">
        <v>32</v>
      </c>
      <c r="F318" s="77">
        <f>I287</f>
        <v>3972000</v>
      </c>
      <c r="H318" s="77">
        <f>'Rec.Data System-IN'!U21</f>
        <v>0</v>
      </c>
      <c r="I318" s="97">
        <f t="shared" si="8"/>
        <v>3972000</v>
      </c>
    </row>
    <row r="319">
      <c r="B319" s="96"/>
      <c r="C319" s="76" t="s">
        <v>33</v>
      </c>
      <c r="F319" s="77">
        <f>I292</f>
        <v>0</v>
      </c>
      <c r="H319" s="77">
        <f>'Rec.Data System-IN'!V21</f>
        <v>0</v>
      </c>
      <c r="I319" s="97">
        <f t="shared" si="8"/>
        <v>0</v>
      </c>
    </row>
    <row r="320">
      <c r="B320" s="96"/>
      <c r="C320" s="76" t="s">
        <v>34</v>
      </c>
      <c r="F320" s="103">
        <f>I297</f>
        <v>0</v>
      </c>
      <c r="H320" s="77">
        <f>'Rec.Data System-IN'!W21</f>
        <v>0</v>
      </c>
      <c r="I320" s="97">
        <f t="shared" si="8"/>
        <v>0</v>
      </c>
    </row>
    <row r="321">
      <c r="B321" s="96"/>
      <c r="I321" s="97"/>
    </row>
    <row r="322" ht="15.75">
      <c r="B322" s="96"/>
      <c r="C322" s="76" t="s">
        <v>90</v>
      </c>
      <c r="I322" s="104">
        <f>SUM(I316:I320)</f>
        <v>40111315</v>
      </c>
    </row>
    <row r="323" ht="15">
      <c r="B323" s="96"/>
      <c r="I323" s="97"/>
    </row>
    <row r="324" ht="21.75">
      <c r="B324" s="105"/>
      <c r="C324" s="106" t="s">
        <v>93</v>
      </c>
      <c r="D324" s="106"/>
      <c r="E324" s="106"/>
      <c r="F324" s="106"/>
      <c r="G324" s="106"/>
      <c r="H324" s="106"/>
      <c r="I324" s="107"/>
    </row>
    <row r="325">
      <c r="B325" s="96"/>
      <c r="F325" s="76"/>
      <c r="H325" s="76"/>
      <c r="I325" s="97"/>
    </row>
    <row r="326" ht="21.75">
      <c r="B326" s="98"/>
      <c r="C326" s="99" t="s">
        <v>96</v>
      </c>
      <c r="D326" s="100"/>
      <c r="E326" s="99" t="s">
        <v>97</v>
      </c>
      <c r="F326" s="108" t="s">
        <v>98</v>
      </c>
      <c r="G326" s="101"/>
      <c r="H326" s="101"/>
      <c r="I326" s="102"/>
    </row>
    <row r="327">
      <c r="B327" s="109"/>
      <c r="F327" s="76" t="s">
        <v>100</v>
      </c>
      <c r="H327" s="110"/>
      <c r="I327" s="97"/>
    </row>
    <row r="328">
      <c r="B328" s="109"/>
      <c r="F328" s="76"/>
      <c r="H328" s="110"/>
      <c r="I328" s="97"/>
    </row>
    <row r="329">
      <c r="B329" s="109">
        <v>1</v>
      </c>
      <c r="F329" s="76" t="s">
        <v>103</v>
      </c>
      <c r="G329" s="76"/>
      <c r="H329" s="111">
        <v>0</v>
      </c>
      <c r="I329" s="97"/>
    </row>
    <row r="330">
      <c r="B330" s="109">
        <v>2</v>
      </c>
      <c r="F330" s="76" t="s">
        <v>103</v>
      </c>
      <c r="G330" s="76"/>
      <c r="H330" s="111">
        <v>0</v>
      </c>
      <c r="I330" s="97"/>
    </row>
    <row r="331">
      <c r="B331" s="109">
        <v>3</v>
      </c>
      <c r="F331" s="76" t="s">
        <v>103</v>
      </c>
      <c r="G331" s="76"/>
      <c r="H331" s="111">
        <v>0</v>
      </c>
      <c r="I331" s="97"/>
    </row>
    <row r="332">
      <c r="B332" s="109">
        <v>4</v>
      </c>
      <c r="F332" s="76" t="s">
        <v>103</v>
      </c>
      <c r="G332" s="76"/>
      <c r="H332" s="111">
        <v>0</v>
      </c>
      <c r="I332" s="97"/>
    </row>
    <row r="333">
      <c r="B333" s="109">
        <v>5</v>
      </c>
      <c r="F333" s="76" t="s">
        <v>103</v>
      </c>
      <c r="G333" s="76"/>
      <c r="H333" s="111">
        <v>0</v>
      </c>
      <c r="I333" s="97"/>
      <c r="N333" s="77"/>
      <c r="O333" s="77"/>
    </row>
    <row r="334" ht="16.5">
      <c r="B334" s="109">
        <v>6</v>
      </c>
      <c r="F334" s="76" t="s">
        <v>103</v>
      </c>
      <c r="G334" s="76"/>
      <c r="H334" s="112">
        <v>0</v>
      </c>
      <c r="I334" s="97"/>
      <c r="N334" s="77"/>
      <c r="O334" s="77"/>
    </row>
    <row r="335">
      <c r="B335" s="109"/>
      <c r="C335" s="113" t="s">
        <v>106</v>
      </c>
      <c r="F335" s="76"/>
      <c r="G335" s="76"/>
      <c r="H335" s="111">
        <f>SUM(H329:H334)</f>
        <v>0</v>
      </c>
      <c r="I335" s="97">
        <f>I316-H335</f>
        <v>36139315</v>
      </c>
      <c r="N335" s="77"/>
      <c r="O335" s="77"/>
    </row>
    <row r="336">
      <c r="B336" s="109">
        <v>1</v>
      </c>
      <c r="F336" s="76" t="s">
        <v>31</v>
      </c>
      <c r="G336" s="76"/>
      <c r="H336" s="111">
        <v>0</v>
      </c>
      <c r="I336" s="97"/>
      <c r="N336" s="77"/>
      <c r="O336" s="77"/>
    </row>
    <row r="337">
      <c r="B337" s="109">
        <v>2</v>
      </c>
      <c r="F337" s="76" t="s">
        <v>31</v>
      </c>
      <c r="G337" s="76"/>
      <c r="H337" s="111">
        <v>0</v>
      </c>
      <c r="I337" s="97"/>
      <c r="N337" s="77"/>
      <c r="O337" s="77"/>
    </row>
    <row r="338">
      <c r="B338" s="109">
        <v>3</v>
      </c>
      <c r="F338" s="76" t="s">
        <v>31</v>
      </c>
      <c r="G338" s="76"/>
      <c r="H338" s="111">
        <v>0</v>
      </c>
      <c r="I338" s="97"/>
      <c r="N338" s="77"/>
      <c r="O338" s="77"/>
    </row>
    <row r="339" ht="16.5">
      <c r="B339" s="109">
        <v>4</v>
      </c>
      <c r="F339" s="76" t="s">
        <v>31</v>
      </c>
      <c r="G339" s="76"/>
      <c r="H339" s="112">
        <v>0</v>
      </c>
      <c r="I339" s="97"/>
      <c r="N339" s="77"/>
      <c r="O339" s="77"/>
    </row>
    <row r="340">
      <c r="B340" s="109"/>
      <c r="C340" s="113" t="s">
        <v>112</v>
      </c>
      <c r="F340" s="76"/>
      <c r="G340" s="76"/>
      <c r="H340" s="111">
        <f>SUM(H336:H339)</f>
        <v>0</v>
      </c>
      <c r="I340" s="97">
        <f>I317-H340</f>
        <v>0</v>
      </c>
      <c r="N340" s="77"/>
      <c r="O340" s="77"/>
    </row>
    <row r="341">
      <c r="B341" s="109">
        <v>1</v>
      </c>
      <c r="F341" s="76" t="s">
        <v>32</v>
      </c>
      <c r="G341" s="76"/>
      <c r="H341" s="111">
        <v>0</v>
      </c>
      <c r="I341" s="97"/>
      <c r="N341" s="77"/>
      <c r="O341" s="77"/>
    </row>
    <row r="342">
      <c r="B342" s="109">
        <v>2</v>
      </c>
      <c r="F342" s="76" t="s">
        <v>32</v>
      </c>
      <c r="G342" s="76"/>
      <c r="H342" s="111">
        <v>0</v>
      </c>
      <c r="I342" s="97"/>
      <c r="N342" s="77"/>
      <c r="O342" s="77"/>
    </row>
    <row r="343">
      <c r="B343" s="109">
        <v>3</v>
      </c>
      <c r="F343" s="76" t="s">
        <v>32</v>
      </c>
      <c r="G343" s="76"/>
      <c r="H343" s="111">
        <v>0</v>
      </c>
      <c r="I343" s="97"/>
      <c r="N343" s="77"/>
      <c r="O343" s="77"/>
    </row>
    <row r="344" ht="16.5">
      <c r="B344" s="109">
        <v>4</v>
      </c>
      <c r="F344" s="76" t="s">
        <v>32</v>
      </c>
      <c r="G344" s="76"/>
      <c r="H344" s="112">
        <v>0</v>
      </c>
      <c r="I344" s="97"/>
      <c r="N344" s="77"/>
      <c r="O344" s="77"/>
    </row>
    <row r="345">
      <c r="B345" s="109"/>
      <c r="C345" s="113" t="s">
        <v>116</v>
      </c>
      <c r="F345" s="76"/>
      <c r="G345" s="76"/>
      <c r="H345" s="111">
        <f>SUM(H341:H344)</f>
        <v>0</v>
      </c>
      <c r="I345" s="97">
        <f>I318-H345</f>
        <v>3972000</v>
      </c>
      <c r="N345" s="77"/>
      <c r="O345" s="77"/>
    </row>
    <row r="346">
      <c r="B346" s="109">
        <v>1</v>
      </c>
      <c r="F346" s="76" t="s">
        <v>33</v>
      </c>
      <c r="G346" s="76"/>
      <c r="H346" s="111">
        <v>0</v>
      </c>
      <c r="I346" s="97"/>
      <c r="N346" s="77"/>
      <c r="O346" s="77"/>
    </row>
    <row r="347">
      <c r="B347" s="109">
        <v>2</v>
      </c>
      <c r="F347" s="76" t="s">
        <v>33</v>
      </c>
      <c r="G347" s="76"/>
      <c r="H347" s="111">
        <v>0</v>
      </c>
      <c r="I347" s="97"/>
      <c r="N347" s="77"/>
      <c r="O347" s="77"/>
    </row>
    <row r="348">
      <c r="B348" s="109">
        <v>3</v>
      </c>
      <c r="F348" s="76" t="s">
        <v>33</v>
      </c>
      <c r="G348" s="76"/>
      <c r="H348" s="111">
        <v>0</v>
      </c>
      <c r="I348" s="97"/>
      <c r="N348" s="77"/>
      <c r="O348" s="77"/>
    </row>
    <row r="349" ht="16.5">
      <c r="B349" s="109">
        <v>4</v>
      </c>
      <c r="F349" s="76" t="s">
        <v>33</v>
      </c>
      <c r="G349" s="76"/>
      <c r="H349" s="112">
        <v>0</v>
      </c>
      <c r="I349" s="97"/>
      <c r="N349" s="77"/>
      <c r="O349" s="77"/>
    </row>
    <row r="350">
      <c r="B350" s="109"/>
      <c r="C350" s="113" t="s">
        <v>117</v>
      </c>
      <c r="F350" s="76"/>
      <c r="G350" s="76"/>
      <c r="H350" s="111">
        <f>SUM(H346:H349)</f>
        <v>0</v>
      </c>
      <c r="I350" s="97">
        <f>I319-H350</f>
        <v>0</v>
      </c>
      <c r="N350" s="77"/>
      <c r="O350" s="77"/>
    </row>
    <row r="351">
      <c r="B351" s="109">
        <v>1</v>
      </c>
      <c r="F351" s="76" t="s">
        <v>118</v>
      </c>
      <c r="G351" s="76"/>
      <c r="H351" s="111">
        <v>0</v>
      </c>
      <c r="I351" s="97"/>
      <c r="N351" s="77"/>
      <c r="O351" s="77"/>
    </row>
    <row r="352">
      <c r="B352" s="109">
        <v>2</v>
      </c>
      <c r="F352" s="76" t="s">
        <v>118</v>
      </c>
      <c r="G352" s="76"/>
      <c r="H352" s="111">
        <v>0</v>
      </c>
      <c r="I352" s="97"/>
      <c r="N352" s="77"/>
      <c r="O352" s="77"/>
    </row>
    <row r="353">
      <c r="B353" s="109">
        <v>3</v>
      </c>
      <c r="F353" s="76" t="s">
        <v>118</v>
      </c>
      <c r="G353" s="76"/>
      <c r="H353" s="111">
        <v>0</v>
      </c>
      <c r="I353" s="97"/>
      <c r="N353" s="77"/>
      <c r="O353" s="77"/>
    </row>
    <row r="354" ht="16.5">
      <c r="B354" s="109">
        <v>4</v>
      </c>
      <c r="F354" s="76" t="s">
        <v>118</v>
      </c>
      <c r="G354" s="76"/>
      <c r="H354" s="112">
        <v>0</v>
      </c>
      <c r="I354" s="97"/>
      <c r="N354" s="77"/>
      <c r="O354" s="77"/>
    </row>
    <row r="355">
      <c r="B355" s="109"/>
      <c r="C355" s="113" t="s">
        <v>121</v>
      </c>
      <c r="F355" s="76"/>
      <c r="G355" s="76"/>
      <c r="H355" s="111">
        <f>SUM(H351:H354)</f>
        <v>0</v>
      </c>
      <c r="I355" s="97">
        <f>I320-H355</f>
        <v>0</v>
      </c>
      <c r="N355" s="77"/>
      <c r="O355" s="77"/>
    </row>
    <row r="356">
      <c r="B356" s="96"/>
      <c r="I356" s="97"/>
    </row>
    <row r="357" ht="15">
      <c r="B357" s="96"/>
      <c r="C357" s="76" t="s">
        <v>122</v>
      </c>
      <c r="H357" s="114">
        <f>H335+H340+H345+H350+H355</f>
        <v>0</v>
      </c>
      <c r="I357" s="115"/>
    </row>
    <row r="358">
      <c r="B358" s="96"/>
      <c r="I358" s="97"/>
    </row>
    <row r="359" ht="15">
      <c r="B359" s="96"/>
      <c r="C359" s="76" t="s">
        <v>123</v>
      </c>
      <c r="H359" s="76"/>
      <c r="I359" s="116">
        <f>I322-H357</f>
        <v>40111315</v>
      </c>
    </row>
    <row r="360">
      <c r="B360" s="117"/>
      <c r="C360" s="118"/>
      <c r="D360" s="118"/>
      <c r="E360" s="118"/>
      <c r="F360" s="119"/>
      <c r="G360" s="119"/>
      <c r="H360" s="119"/>
      <c r="I360" s="120"/>
    </row>
    <row r="364" ht="28.899999999999999" customHeight="1">
      <c r="B364" s="88" t="str">
        <f>B16</f>
        <v xml:space="preserve">CIBINONG KOTA</v>
      </c>
      <c r="C364" s="89"/>
      <c r="D364" s="89"/>
      <c r="E364" s="89"/>
      <c r="F364" s="89"/>
      <c r="G364" s="89"/>
      <c r="H364" s="89"/>
      <c r="I364" s="89"/>
    </row>
    <row r="365" ht="21.75">
      <c r="B365" s="90" t="s">
        <v>69</v>
      </c>
      <c r="C365" s="90"/>
      <c r="D365" s="90"/>
      <c r="E365" s="90"/>
      <c r="F365" s="90"/>
      <c r="G365" s="90"/>
      <c r="H365" s="90"/>
      <c r="I365" s="91"/>
    </row>
    <row r="366" ht="21.75">
      <c r="B366" s="86" t="s">
        <v>129</v>
      </c>
      <c r="C366" s="86"/>
      <c r="D366" s="86"/>
      <c r="E366" s="86"/>
      <c r="F366" s="86"/>
      <c r="G366" s="86"/>
      <c r="H366" s="86"/>
      <c r="I366" s="92"/>
    </row>
    <row r="368" ht="21.75">
      <c r="B368" s="93"/>
      <c r="C368" s="94" t="s">
        <v>71</v>
      </c>
      <c r="D368" s="94"/>
      <c r="E368" s="94"/>
      <c r="F368" s="94"/>
      <c r="G368" s="94"/>
      <c r="H368" s="94"/>
      <c r="I368" s="95"/>
    </row>
    <row r="369">
      <c r="B369" s="96"/>
      <c r="I369" s="97"/>
    </row>
    <row r="370" ht="21.75">
      <c r="B370" s="98"/>
      <c r="C370" s="99" t="s">
        <v>74</v>
      </c>
      <c r="D370" s="100"/>
      <c r="E370" s="100"/>
      <c r="F370" s="101" t="s">
        <v>75</v>
      </c>
      <c r="G370" s="101"/>
      <c r="H370" s="101" t="s">
        <v>76</v>
      </c>
      <c r="I370" s="102" t="s">
        <v>28</v>
      </c>
    </row>
    <row r="371">
      <c r="B371" s="96"/>
      <c r="I371" s="97"/>
    </row>
    <row r="372">
      <c r="B372" s="96"/>
      <c r="C372" s="76" t="s">
        <v>79</v>
      </c>
      <c r="H372" s="77">
        <f>'Rec.Data System-IN'!R22</f>
        <v>0</v>
      </c>
      <c r="I372" s="97">
        <f t="shared" ref="I372:I378" si="9">F372+H372</f>
        <v>0</v>
      </c>
    </row>
    <row r="373">
      <c r="B373" s="96"/>
      <c r="C373" s="76" t="s">
        <v>81</v>
      </c>
      <c r="H373" s="103">
        <f>'Rec.Data System-IN'!S22</f>
        <v>0</v>
      </c>
      <c r="I373" s="97">
        <f t="shared" si="9"/>
        <v>0</v>
      </c>
    </row>
    <row r="374" ht="25.5" customHeight="1">
      <c r="B374" s="96"/>
      <c r="C374" s="65" t="s">
        <v>83</v>
      </c>
      <c r="F374" s="77">
        <f>I335</f>
        <v>36139315</v>
      </c>
      <c r="H374" s="77">
        <f>SUM(H372:H373)</f>
        <v>0</v>
      </c>
      <c r="I374" s="97">
        <f t="shared" si="9"/>
        <v>36139315</v>
      </c>
    </row>
    <row r="375">
      <c r="B375" s="96"/>
      <c r="C375" s="76" t="s">
        <v>31</v>
      </c>
      <c r="F375" s="77">
        <f>I340</f>
        <v>0</v>
      </c>
      <c r="H375" s="77">
        <f>'Rec.Data System-IN'!T22</f>
        <v>0</v>
      </c>
      <c r="I375" s="97">
        <f t="shared" si="9"/>
        <v>0</v>
      </c>
    </row>
    <row r="376">
      <c r="B376" s="96"/>
      <c r="C376" s="76" t="s">
        <v>32</v>
      </c>
      <c r="F376" s="77">
        <f>I345</f>
        <v>3972000</v>
      </c>
      <c r="H376" s="77">
        <f>'Rec.Data System-IN'!U22</f>
        <v>0</v>
      </c>
      <c r="I376" s="97">
        <f t="shared" si="9"/>
        <v>3972000</v>
      </c>
    </row>
    <row r="377">
      <c r="B377" s="96"/>
      <c r="C377" s="76" t="s">
        <v>33</v>
      </c>
      <c r="F377" s="77">
        <f>I350</f>
        <v>0</v>
      </c>
      <c r="H377" s="77">
        <f>'Rec.Data System-IN'!V22</f>
        <v>0</v>
      </c>
      <c r="I377" s="97">
        <f t="shared" si="9"/>
        <v>0</v>
      </c>
    </row>
    <row r="378">
      <c r="B378" s="96"/>
      <c r="C378" s="76" t="s">
        <v>34</v>
      </c>
      <c r="F378" s="103">
        <f>I355</f>
        <v>0</v>
      </c>
      <c r="H378" s="77">
        <f>'Rec.Data System-IN'!W22</f>
        <v>0</v>
      </c>
      <c r="I378" s="97">
        <f t="shared" si="9"/>
        <v>0</v>
      </c>
    </row>
    <row r="379">
      <c r="B379" s="96"/>
      <c r="I379" s="97"/>
    </row>
    <row r="380" ht="15.75">
      <c r="B380" s="96"/>
      <c r="C380" s="76" t="s">
        <v>90</v>
      </c>
      <c r="I380" s="104">
        <f>SUM(I374:I378)</f>
        <v>40111315</v>
      </c>
    </row>
    <row r="381" ht="15">
      <c r="B381" s="96"/>
      <c r="I381" s="97"/>
    </row>
    <row r="382" ht="21.75">
      <c r="B382" s="105"/>
      <c r="C382" s="106" t="s">
        <v>93</v>
      </c>
      <c r="D382" s="106"/>
      <c r="E382" s="106"/>
      <c r="F382" s="106"/>
      <c r="G382" s="106"/>
      <c r="H382" s="106"/>
      <c r="I382" s="107"/>
    </row>
    <row r="383">
      <c r="B383" s="96"/>
      <c r="F383" s="76"/>
      <c r="H383" s="76"/>
      <c r="I383" s="97"/>
    </row>
    <row r="384" ht="21.75">
      <c r="B384" s="98"/>
      <c r="C384" s="99" t="s">
        <v>96</v>
      </c>
      <c r="D384" s="100"/>
      <c r="E384" s="99" t="s">
        <v>97</v>
      </c>
      <c r="F384" s="108" t="s">
        <v>98</v>
      </c>
      <c r="G384" s="101"/>
      <c r="H384" s="101"/>
      <c r="I384" s="102"/>
    </row>
    <row r="385">
      <c r="B385" s="109"/>
      <c r="F385" s="76" t="s">
        <v>100</v>
      </c>
      <c r="H385" s="110"/>
      <c r="I385" s="97"/>
    </row>
    <row r="386">
      <c r="B386" s="109"/>
      <c r="F386" s="76"/>
      <c r="H386" s="110"/>
      <c r="I386" s="97"/>
    </row>
    <row r="387">
      <c r="B387" s="109">
        <v>1</v>
      </c>
      <c r="F387" s="76" t="s">
        <v>103</v>
      </c>
      <c r="G387" s="76"/>
      <c r="H387" s="111">
        <v>0</v>
      </c>
      <c r="I387" s="97"/>
    </row>
    <row r="388">
      <c r="B388" s="109">
        <v>2</v>
      </c>
      <c r="F388" s="76" t="s">
        <v>103</v>
      </c>
      <c r="G388" s="76"/>
      <c r="H388" s="111">
        <v>0</v>
      </c>
      <c r="I388" s="97"/>
    </row>
    <row r="389">
      <c r="B389" s="109">
        <v>3</v>
      </c>
      <c r="F389" s="76" t="s">
        <v>103</v>
      </c>
      <c r="G389" s="76"/>
      <c r="H389" s="111">
        <v>0</v>
      </c>
      <c r="I389" s="97"/>
    </row>
    <row r="390">
      <c r="B390" s="109">
        <v>4</v>
      </c>
      <c r="F390" s="76" t="s">
        <v>103</v>
      </c>
      <c r="G390" s="76"/>
      <c r="H390" s="111">
        <v>0</v>
      </c>
      <c r="I390" s="97"/>
    </row>
    <row r="391">
      <c r="B391" s="109">
        <v>5</v>
      </c>
      <c r="F391" s="76" t="s">
        <v>103</v>
      </c>
      <c r="G391" s="76"/>
      <c r="H391" s="111">
        <v>0</v>
      </c>
      <c r="I391" s="97"/>
      <c r="N391" s="77"/>
      <c r="O391" s="77"/>
    </row>
    <row r="392" ht="16.5">
      <c r="B392" s="109">
        <v>6</v>
      </c>
      <c r="F392" s="76" t="s">
        <v>103</v>
      </c>
      <c r="G392" s="76"/>
      <c r="H392" s="112">
        <v>0</v>
      </c>
      <c r="I392" s="97"/>
      <c r="N392" s="77"/>
      <c r="O392" s="77"/>
    </row>
    <row r="393">
      <c r="B393" s="109"/>
      <c r="C393" s="113" t="s">
        <v>106</v>
      </c>
      <c r="F393" s="76"/>
      <c r="G393" s="76"/>
      <c r="H393" s="111">
        <f>SUM(H387:H392)</f>
        <v>0</v>
      </c>
      <c r="I393" s="97">
        <f>I374-H393</f>
        <v>36139315</v>
      </c>
      <c r="N393" s="77"/>
      <c r="O393" s="77"/>
    </row>
    <row r="394">
      <c r="B394" s="109">
        <v>1</v>
      </c>
      <c r="F394" s="76" t="s">
        <v>31</v>
      </c>
      <c r="G394" s="76"/>
      <c r="H394" s="111">
        <v>0</v>
      </c>
      <c r="I394" s="97"/>
      <c r="N394" s="77"/>
      <c r="O394" s="77"/>
    </row>
    <row r="395">
      <c r="B395" s="109">
        <v>2</v>
      </c>
      <c r="F395" s="76" t="s">
        <v>31</v>
      </c>
      <c r="G395" s="76"/>
      <c r="H395" s="111">
        <v>0</v>
      </c>
      <c r="I395" s="97"/>
      <c r="N395" s="77"/>
      <c r="O395" s="77"/>
    </row>
    <row r="396">
      <c r="B396" s="109">
        <v>3</v>
      </c>
      <c r="F396" s="76" t="s">
        <v>31</v>
      </c>
      <c r="G396" s="76"/>
      <c r="H396" s="111">
        <v>0</v>
      </c>
      <c r="I396" s="97"/>
      <c r="N396" s="77"/>
      <c r="O396" s="77"/>
    </row>
    <row r="397" ht="16.5">
      <c r="B397" s="109">
        <v>4</v>
      </c>
      <c r="F397" s="76" t="s">
        <v>31</v>
      </c>
      <c r="G397" s="76"/>
      <c r="H397" s="112">
        <v>0</v>
      </c>
      <c r="I397" s="97"/>
      <c r="N397" s="77"/>
      <c r="O397" s="77"/>
    </row>
    <row r="398">
      <c r="B398" s="109"/>
      <c r="C398" s="113" t="s">
        <v>112</v>
      </c>
      <c r="F398" s="76"/>
      <c r="G398" s="76"/>
      <c r="H398" s="111">
        <f>SUM(H394:H397)</f>
        <v>0</v>
      </c>
      <c r="I398" s="97">
        <f>I375-H398</f>
        <v>0</v>
      </c>
      <c r="N398" s="77"/>
      <c r="O398" s="77"/>
    </row>
    <row r="399">
      <c r="B399" s="109">
        <v>1</v>
      </c>
      <c r="F399" s="76" t="s">
        <v>32</v>
      </c>
      <c r="G399" s="76"/>
      <c r="H399" s="111">
        <v>0</v>
      </c>
      <c r="I399" s="97"/>
      <c r="N399" s="77"/>
      <c r="O399" s="77"/>
    </row>
    <row r="400">
      <c r="B400" s="109">
        <v>2</v>
      </c>
      <c r="F400" s="76" t="s">
        <v>32</v>
      </c>
      <c r="G400" s="76"/>
      <c r="H400" s="111">
        <v>0</v>
      </c>
      <c r="I400" s="97"/>
      <c r="N400" s="77"/>
      <c r="O400" s="77"/>
    </row>
    <row r="401">
      <c r="B401" s="109">
        <v>3</v>
      </c>
      <c r="F401" s="76" t="s">
        <v>32</v>
      </c>
      <c r="G401" s="76"/>
      <c r="H401" s="111">
        <v>0</v>
      </c>
      <c r="I401" s="97"/>
      <c r="N401" s="77"/>
      <c r="O401" s="77"/>
    </row>
    <row r="402" ht="16.5">
      <c r="B402" s="109">
        <v>4</v>
      </c>
      <c r="F402" s="76" t="s">
        <v>32</v>
      </c>
      <c r="G402" s="76"/>
      <c r="H402" s="112">
        <v>0</v>
      </c>
      <c r="I402" s="97"/>
      <c r="N402" s="77"/>
      <c r="O402" s="77"/>
    </row>
    <row r="403">
      <c r="B403" s="109"/>
      <c r="C403" s="113" t="s">
        <v>116</v>
      </c>
      <c r="F403" s="76"/>
      <c r="G403" s="76"/>
      <c r="H403" s="111">
        <f>SUM(H399:H402)</f>
        <v>0</v>
      </c>
      <c r="I403" s="97">
        <f>I376-H403</f>
        <v>3972000</v>
      </c>
      <c r="N403" s="77"/>
      <c r="O403" s="77"/>
    </row>
    <row r="404">
      <c r="B404" s="109">
        <v>1</v>
      </c>
      <c r="F404" s="76" t="s">
        <v>33</v>
      </c>
      <c r="G404" s="76"/>
      <c r="H404" s="111">
        <v>0</v>
      </c>
      <c r="I404" s="97"/>
      <c r="N404" s="77"/>
      <c r="O404" s="77"/>
    </row>
    <row r="405">
      <c r="B405" s="109">
        <v>2</v>
      </c>
      <c r="F405" s="76" t="s">
        <v>33</v>
      </c>
      <c r="G405" s="76"/>
      <c r="H405" s="111">
        <v>0</v>
      </c>
      <c r="I405" s="97"/>
      <c r="N405" s="77"/>
      <c r="O405" s="77"/>
    </row>
    <row r="406">
      <c r="B406" s="109">
        <v>3</v>
      </c>
      <c r="F406" s="76" t="s">
        <v>33</v>
      </c>
      <c r="G406" s="76"/>
      <c r="H406" s="111">
        <v>0</v>
      </c>
      <c r="I406" s="97"/>
      <c r="N406" s="77"/>
      <c r="O406" s="77"/>
    </row>
    <row r="407" ht="16.5">
      <c r="B407" s="109">
        <v>4</v>
      </c>
      <c r="F407" s="76" t="s">
        <v>33</v>
      </c>
      <c r="G407" s="76"/>
      <c r="H407" s="112">
        <v>0</v>
      </c>
      <c r="I407" s="97"/>
      <c r="N407" s="77"/>
      <c r="O407" s="77"/>
    </row>
    <row r="408">
      <c r="B408" s="109"/>
      <c r="C408" s="113" t="s">
        <v>117</v>
      </c>
      <c r="F408" s="76"/>
      <c r="G408" s="76"/>
      <c r="H408" s="111">
        <f>SUM(H404:H407)</f>
        <v>0</v>
      </c>
      <c r="I408" s="97">
        <f>I377-H408</f>
        <v>0</v>
      </c>
      <c r="N408" s="77"/>
      <c r="O408" s="77"/>
    </row>
    <row r="409">
      <c r="B409" s="109">
        <v>1</v>
      </c>
      <c r="F409" s="76" t="s">
        <v>118</v>
      </c>
      <c r="G409" s="76"/>
      <c r="H409" s="111">
        <v>0</v>
      </c>
      <c r="I409" s="97"/>
      <c r="N409" s="77"/>
      <c r="O409" s="77"/>
    </row>
    <row r="410">
      <c r="B410" s="109">
        <v>2</v>
      </c>
      <c r="F410" s="76" t="s">
        <v>118</v>
      </c>
      <c r="G410" s="76"/>
      <c r="H410" s="111">
        <v>0</v>
      </c>
      <c r="I410" s="97"/>
      <c r="N410" s="77"/>
      <c r="O410" s="77"/>
    </row>
    <row r="411">
      <c r="B411" s="109">
        <v>3</v>
      </c>
      <c r="F411" s="76" t="s">
        <v>118</v>
      </c>
      <c r="G411" s="76"/>
      <c r="H411" s="111">
        <v>0</v>
      </c>
      <c r="I411" s="97"/>
      <c r="N411" s="77"/>
      <c r="O411" s="77"/>
    </row>
    <row r="412" ht="16.5">
      <c r="B412" s="109">
        <v>4</v>
      </c>
      <c r="F412" s="76" t="s">
        <v>118</v>
      </c>
      <c r="G412" s="76"/>
      <c r="H412" s="112">
        <v>0</v>
      </c>
      <c r="I412" s="97"/>
      <c r="N412" s="77"/>
      <c r="O412" s="77"/>
    </row>
    <row r="413">
      <c r="B413" s="109"/>
      <c r="C413" s="113" t="s">
        <v>121</v>
      </c>
      <c r="F413" s="76"/>
      <c r="G413" s="76"/>
      <c r="H413" s="111">
        <f>SUM(H409:H412)</f>
        <v>0</v>
      </c>
      <c r="I413" s="97">
        <f>I378-H413</f>
        <v>0</v>
      </c>
      <c r="N413" s="77"/>
      <c r="O413" s="77"/>
    </row>
    <row r="414">
      <c r="B414" s="96"/>
      <c r="I414" s="97"/>
    </row>
    <row r="415" ht="15">
      <c r="B415" s="96"/>
      <c r="C415" s="76" t="s">
        <v>122</v>
      </c>
      <c r="H415" s="114">
        <f>H393+H398+H403+H408+H413</f>
        <v>0</v>
      </c>
      <c r="I415" s="115"/>
    </row>
    <row r="416">
      <c r="B416" s="96"/>
      <c r="I416" s="97"/>
    </row>
    <row r="417" ht="15">
      <c r="B417" s="96"/>
      <c r="C417" s="76" t="s">
        <v>123</v>
      </c>
      <c r="H417" s="76"/>
      <c r="I417" s="116">
        <f>I380-H415</f>
        <v>40111315</v>
      </c>
    </row>
    <row r="418">
      <c r="B418" s="117"/>
      <c r="C418" s="118"/>
      <c r="D418" s="118"/>
      <c r="E418" s="118"/>
      <c r="F418" s="119"/>
      <c r="G418" s="119"/>
      <c r="H418" s="119"/>
      <c r="I418" s="120"/>
    </row>
    <row r="422" ht="28.899999999999999" customHeight="1">
      <c r="B422" s="88" t="str">
        <f>B16</f>
        <v xml:space="preserve">CIBINONG KOTA</v>
      </c>
      <c r="C422" s="89"/>
      <c r="D422" s="89"/>
      <c r="E422" s="89"/>
      <c r="F422" s="89"/>
      <c r="G422" s="89"/>
      <c r="H422" s="89"/>
      <c r="I422" s="89"/>
    </row>
    <row r="423" ht="21.75">
      <c r="B423" s="90" t="s">
        <v>69</v>
      </c>
      <c r="C423" s="90"/>
      <c r="D423" s="90"/>
      <c r="E423" s="90"/>
      <c r="F423" s="90"/>
      <c r="G423" s="90"/>
      <c r="H423" s="90"/>
      <c r="I423" s="91"/>
    </row>
    <row r="424" ht="21.75">
      <c r="B424" s="86" t="s">
        <v>130</v>
      </c>
      <c r="C424" s="86"/>
      <c r="D424" s="86"/>
      <c r="E424" s="86"/>
      <c r="F424" s="86"/>
      <c r="G424" s="86"/>
      <c r="H424" s="86"/>
      <c r="I424" s="92"/>
    </row>
    <row r="426" ht="21.75">
      <c r="B426" s="93"/>
      <c r="C426" s="94" t="s">
        <v>71</v>
      </c>
      <c r="D426" s="94"/>
      <c r="E426" s="94"/>
      <c r="F426" s="94"/>
      <c r="G426" s="94"/>
      <c r="H426" s="94"/>
      <c r="I426" s="95"/>
    </row>
    <row r="427">
      <c r="B427" s="96"/>
      <c r="I427" s="97"/>
    </row>
    <row r="428" ht="21.75">
      <c r="B428" s="98"/>
      <c r="C428" s="99" t="s">
        <v>74</v>
      </c>
      <c r="D428" s="100"/>
      <c r="E428" s="100"/>
      <c r="F428" s="101" t="s">
        <v>75</v>
      </c>
      <c r="G428" s="101"/>
      <c r="H428" s="101" t="s">
        <v>76</v>
      </c>
      <c r="I428" s="102" t="s">
        <v>28</v>
      </c>
    </row>
    <row r="429">
      <c r="B429" s="96"/>
      <c r="I429" s="97"/>
    </row>
    <row r="430">
      <c r="B430" s="96"/>
      <c r="C430" s="76" t="s">
        <v>79</v>
      </c>
      <c r="H430" s="77">
        <f>'Rec.Data System-IN'!R23</f>
        <v>0</v>
      </c>
      <c r="I430" s="97">
        <f t="shared" ref="I430:I436" si="10">F430+H430</f>
        <v>0</v>
      </c>
    </row>
    <row r="431">
      <c r="B431" s="96"/>
      <c r="C431" s="76" t="s">
        <v>81</v>
      </c>
      <c r="H431" s="103">
        <f>'Rec.Data System-IN'!S23</f>
        <v>0</v>
      </c>
      <c r="I431" s="97">
        <f t="shared" si="10"/>
        <v>0</v>
      </c>
    </row>
    <row r="432" ht="25.5" customHeight="1">
      <c r="B432" s="96"/>
      <c r="C432" s="65" t="s">
        <v>83</v>
      </c>
      <c r="F432" s="77">
        <f>I393</f>
        <v>36139315</v>
      </c>
      <c r="H432" s="77">
        <f>SUM(H430:H431)</f>
        <v>0</v>
      </c>
      <c r="I432" s="97">
        <f t="shared" si="10"/>
        <v>36139315</v>
      </c>
    </row>
    <row r="433">
      <c r="B433" s="96"/>
      <c r="C433" s="76" t="s">
        <v>31</v>
      </c>
      <c r="F433" s="77">
        <f>I398</f>
        <v>0</v>
      </c>
      <c r="H433" s="77">
        <f>'Rec.Data System-IN'!T23</f>
        <v>0</v>
      </c>
      <c r="I433" s="97">
        <f t="shared" si="10"/>
        <v>0</v>
      </c>
    </row>
    <row r="434">
      <c r="B434" s="96"/>
      <c r="C434" s="76" t="s">
        <v>32</v>
      </c>
      <c r="F434" s="77">
        <f>I403</f>
        <v>3972000</v>
      </c>
      <c r="H434" s="77">
        <f>'Rec.Data System-IN'!U23</f>
        <v>0</v>
      </c>
      <c r="I434" s="97">
        <f t="shared" si="10"/>
        <v>3972000</v>
      </c>
    </row>
    <row r="435">
      <c r="B435" s="96"/>
      <c r="C435" s="76" t="s">
        <v>33</v>
      </c>
      <c r="F435" s="77">
        <f>I408</f>
        <v>0</v>
      </c>
      <c r="H435" s="77">
        <f>'Rec.Data System-IN'!V23</f>
        <v>0</v>
      </c>
      <c r="I435" s="97">
        <f t="shared" si="10"/>
        <v>0</v>
      </c>
    </row>
    <row r="436">
      <c r="B436" s="96"/>
      <c r="C436" s="76" t="s">
        <v>34</v>
      </c>
      <c r="F436" s="103">
        <f>I413</f>
        <v>0</v>
      </c>
      <c r="H436" s="77">
        <f>'Rec.Data System-IN'!W23</f>
        <v>0</v>
      </c>
      <c r="I436" s="97">
        <f t="shared" si="10"/>
        <v>0</v>
      </c>
    </row>
    <row r="437">
      <c r="B437" s="96"/>
      <c r="I437" s="97"/>
    </row>
    <row r="438" ht="15.75">
      <c r="B438" s="96"/>
      <c r="C438" s="76" t="s">
        <v>90</v>
      </c>
      <c r="I438" s="104">
        <f>SUM(I432:I436)</f>
        <v>40111315</v>
      </c>
    </row>
    <row r="439" ht="15">
      <c r="B439" s="96"/>
      <c r="I439" s="97"/>
    </row>
    <row r="440" ht="21.75">
      <c r="B440" s="105"/>
      <c r="C440" s="106" t="s">
        <v>93</v>
      </c>
      <c r="D440" s="106"/>
      <c r="E440" s="106"/>
      <c r="F440" s="106"/>
      <c r="G440" s="106"/>
      <c r="H440" s="106"/>
      <c r="I440" s="107"/>
    </row>
    <row r="441">
      <c r="B441" s="96"/>
      <c r="F441" s="76"/>
      <c r="H441" s="76"/>
      <c r="I441" s="97"/>
    </row>
    <row r="442" ht="21.75">
      <c r="B442" s="98"/>
      <c r="C442" s="99" t="s">
        <v>96</v>
      </c>
      <c r="D442" s="100"/>
      <c r="E442" s="99" t="s">
        <v>97</v>
      </c>
      <c r="F442" s="108" t="s">
        <v>98</v>
      </c>
      <c r="G442" s="101"/>
      <c r="H442" s="101"/>
      <c r="I442" s="102"/>
    </row>
    <row r="443">
      <c r="B443" s="109"/>
      <c r="F443" s="76" t="s">
        <v>100</v>
      </c>
      <c r="H443" s="110"/>
      <c r="I443" s="97"/>
    </row>
    <row r="444">
      <c r="B444" s="109"/>
      <c r="F444" s="76"/>
      <c r="H444" s="110"/>
      <c r="I444" s="97"/>
    </row>
    <row r="445">
      <c r="B445" s="109">
        <v>1</v>
      </c>
      <c r="F445" s="76" t="s">
        <v>103</v>
      </c>
      <c r="G445" s="76"/>
      <c r="H445" s="111">
        <v>0</v>
      </c>
      <c r="I445" s="97"/>
    </row>
    <row r="446">
      <c r="B446" s="109">
        <v>2</v>
      </c>
      <c r="F446" s="76" t="s">
        <v>103</v>
      </c>
      <c r="G446" s="76"/>
      <c r="H446" s="111">
        <v>0</v>
      </c>
      <c r="I446" s="97"/>
    </row>
    <row r="447">
      <c r="B447" s="109">
        <v>3</v>
      </c>
      <c r="F447" s="76" t="s">
        <v>103</v>
      </c>
      <c r="G447" s="76"/>
      <c r="H447" s="111">
        <v>0</v>
      </c>
      <c r="I447" s="97"/>
    </row>
    <row r="448">
      <c r="B448" s="109">
        <v>4</v>
      </c>
      <c r="F448" s="76" t="s">
        <v>103</v>
      </c>
      <c r="G448" s="76"/>
      <c r="H448" s="111">
        <v>0</v>
      </c>
      <c r="I448" s="97"/>
    </row>
    <row r="449">
      <c r="B449" s="109">
        <v>5</v>
      </c>
      <c r="F449" s="76" t="s">
        <v>103</v>
      </c>
      <c r="G449" s="76"/>
      <c r="H449" s="111">
        <v>0</v>
      </c>
      <c r="I449" s="97"/>
      <c r="N449" s="77"/>
      <c r="O449" s="77"/>
    </row>
    <row r="450" ht="16.5">
      <c r="B450" s="109">
        <v>6</v>
      </c>
      <c r="F450" s="76" t="s">
        <v>103</v>
      </c>
      <c r="G450" s="76"/>
      <c r="H450" s="112">
        <v>0</v>
      </c>
      <c r="I450" s="97"/>
      <c r="N450" s="77"/>
      <c r="O450" s="77"/>
    </row>
    <row r="451">
      <c r="B451" s="109"/>
      <c r="C451" s="113" t="s">
        <v>106</v>
      </c>
      <c r="F451" s="76"/>
      <c r="G451" s="76"/>
      <c r="H451" s="111">
        <f>SUM(H445:H450)</f>
        <v>0</v>
      </c>
      <c r="I451" s="97">
        <f>I432-H451</f>
        <v>36139315</v>
      </c>
      <c r="N451" s="77"/>
      <c r="O451" s="77"/>
    </row>
    <row r="452">
      <c r="B452" s="109">
        <v>1</v>
      </c>
      <c r="F452" s="76" t="s">
        <v>31</v>
      </c>
      <c r="G452" s="76"/>
      <c r="H452" s="111">
        <v>0</v>
      </c>
      <c r="I452" s="97"/>
      <c r="N452" s="77"/>
      <c r="O452" s="77"/>
    </row>
    <row r="453">
      <c r="B453" s="109">
        <v>2</v>
      </c>
      <c r="F453" s="76" t="s">
        <v>31</v>
      </c>
      <c r="G453" s="76"/>
      <c r="H453" s="111">
        <v>0</v>
      </c>
      <c r="I453" s="97"/>
      <c r="N453" s="77"/>
      <c r="O453" s="77"/>
    </row>
    <row r="454">
      <c r="B454" s="109">
        <v>3</v>
      </c>
      <c r="F454" s="76" t="s">
        <v>31</v>
      </c>
      <c r="G454" s="76"/>
      <c r="H454" s="111">
        <v>0</v>
      </c>
      <c r="I454" s="97"/>
      <c r="N454" s="77"/>
      <c r="O454" s="77"/>
    </row>
    <row r="455" ht="16.5">
      <c r="B455" s="109">
        <v>4</v>
      </c>
      <c r="F455" s="76" t="s">
        <v>31</v>
      </c>
      <c r="G455" s="76"/>
      <c r="H455" s="112">
        <v>0</v>
      </c>
      <c r="I455" s="97"/>
      <c r="N455" s="77"/>
      <c r="O455" s="77"/>
    </row>
    <row r="456">
      <c r="B456" s="109"/>
      <c r="C456" s="113" t="s">
        <v>112</v>
      </c>
      <c r="F456" s="76"/>
      <c r="G456" s="76"/>
      <c r="H456" s="111">
        <f>SUM(H452:H455)</f>
        <v>0</v>
      </c>
      <c r="I456" s="97">
        <f>I433-H456</f>
        <v>0</v>
      </c>
      <c r="N456" s="77"/>
      <c r="O456" s="77"/>
    </row>
    <row r="457">
      <c r="B457" s="109">
        <v>1</v>
      </c>
      <c r="F457" s="76" t="s">
        <v>32</v>
      </c>
      <c r="G457" s="76"/>
      <c r="H457" s="111">
        <v>0</v>
      </c>
      <c r="I457" s="97"/>
      <c r="N457" s="77"/>
      <c r="O457" s="77"/>
    </row>
    <row r="458">
      <c r="B458" s="109">
        <v>2</v>
      </c>
      <c r="F458" s="76" t="s">
        <v>32</v>
      </c>
      <c r="G458" s="76"/>
      <c r="H458" s="111">
        <v>0</v>
      </c>
      <c r="I458" s="97"/>
      <c r="N458" s="77"/>
      <c r="O458" s="77"/>
    </row>
    <row r="459">
      <c r="B459" s="109">
        <v>3</v>
      </c>
      <c r="F459" s="76" t="s">
        <v>32</v>
      </c>
      <c r="G459" s="76"/>
      <c r="H459" s="111">
        <v>0</v>
      </c>
      <c r="I459" s="97"/>
      <c r="N459" s="77"/>
      <c r="O459" s="77"/>
    </row>
    <row r="460" ht="16.5">
      <c r="B460" s="109">
        <v>4</v>
      </c>
      <c r="F460" s="76" t="s">
        <v>32</v>
      </c>
      <c r="G460" s="76"/>
      <c r="H460" s="112">
        <v>0</v>
      </c>
      <c r="I460" s="97"/>
      <c r="N460" s="77"/>
      <c r="O460" s="77"/>
    </row>
    <row r="461">
      <c r="B461" s="109"/>
      <c r="C461" s="113" t="s">
        <v>116</v>
      </c>
      <c r="F461" s="76"/>
      <c r="G461" s="76"/>
      <c r="H461" s="111">
        <f>SUM(H457:H460)</f>
        <v>0</v>
      </c>
      <c r="I461" s="97">
        <f>I434-H461</f>
        <v>3972000</v>
      </c>
      <c r="N461" s="77"/>
      <c r="O461" s="77"/>
    </row>
    <row r="462">
      <c r="B462" s="109">
        <v>1</v>
      </c>
      <c r="F462" s="76" t="s">
        <v>33</v>
      </c>
      <c r="G462" s="76"/>
      <c r="H462" s="111">
        <v>0</v>
      </c>
      <c r="I462" s="97"/>
      <c r="N462" s="77"/>
      <c r="O462" s="77"/>
    </row>
    <row r="463">
      <c r="B463" s="109">
        <v>2</v>
      </c>
      <c r="F463" s="76" t="s">
        <v>33</v>
      </c>
      <c r="G463" s="76"/>
      <c r="H463" s="111">
        <v>0</v>
      </c>
      <c r="I463" s="97"/>
      <c r="N463" s="77"/>
      <c r="O463" s="77"/>
    </row>
    <row r="464">
      <c r="B464" s="109">
        <v>3</v>
      </c>
      <c r="F464" s="76" t="s">
        <v>33</v>
      </c>
      <c r="G464" s="76"/>
      <c r="H464" s="111">
        <v>0</v>
      </c>
      <c r="I464" s="97"/>
      <c r="N464" s="77"/>
      <c r="O464" s="77"/>
    </row>
    <row r="465" ht="16.5">
      <c r="B465" s="109">
        <v>4</v>
      </c>
      <c r="F465" s="76" t="s">
        <v>33</v>
      </c>
      <c r="G465" s="76"/>
      <c r="H465" s="112">
        <v>0</v>
      </c>
      <c r="I465" s="97"/>
      <c r="N465" s="77"/>
      <c r="O465" s="77"/>
    </row>
    <row r="466">
      <c r="B466" s="109"/>
      <c r="C466" s="113" t="s">
        <v>117</v>
      </c>
      <c r="F466" s="76"/>
      <c r="G466" s="76"/>
      <c r="H466" s="111">
        <f>SUM(H462:H465)</f>
        <v>0</v>
      </c>
      <c r="I466" s="97">
        <f>I435-H466</f>
        <v>0</v>
      </c>
      <c r="N466" s="77"/>
      <c r="O466" s="77"/>
    </row>
    <row r="467">
      <c r="B467" s="109">
        <v>1</v>
      </c>
      <c r="F467" s="76" t="s">
        <v>118</v>
      </c>
      <c r="G467" s="76"/>
      <c r="H467" s="111">
        <v>0</v>
      </c>
      <c r="I467" s="97"/>
      <c r="N467" s="77"/>
      <c r="O467" s="77"/>
    </row>
    <row r="468">
      <c r="B468" s="109">
        <v>2</v>
      </c>
      <c r="F468" s="76" t="s">
        <v>118</v>
      </c>
      <c r="G468" s="76"/>
      <c r="H468" s="111">
        <v>0</v>
      </c>
      <c r="I468" s="97"/>
      <c r="N468" s="77"/>
      <c r="O468" s="77"/>
    </row>
    <row r="469">
      <c r="B469" s="109">
        <v>3</v>
      </c>
      <c r="F469" s="76" t="s">
        <v>118</v>
      </c>
      <c r="G469" s="76"/>
      <c r="H469" s="111">
        <v>0</v>
      </c>
      <c r="I469" s="97"/>
      <c r="N469" s="77"/>
      <c r="O469" s="77"/>
    </row>
    <row r="470" ht="16.5">
      <c r="B470" s="109">
        <v>4</v>
      </c>
      <c r="F470" s="76" t="s">
        <v>118</v>
      </c>
      <c r="G470" s="76"/>
      <c r="H470" s="112">
        <v>0</v>
      </c>
      <c r="I470" s="97"/>
      <c r="N470" s="77"/>
      <c r="O470" s="77"/>
    </row>
    <row r="471">
      <c r="B471" s="109"/>
      <c r="C471" s="113" t="s">
        <v>121</v>
      </c>
      <c r="F471" s="76"/>
      <c r="G471" s="76"/>
      <c r="H471" s="111">
        <f>SUM(H467:H470)</f>
        <v>0</v>
      </c>
      <c r="I471" s="97">
        <f>I436-H471</f>
        <v>0</v>
      </c>
      <c r="N471" s="77"/>
      <c r="O471" s="77"/>
    </row>
    <row r="472">
      <c r="B472" s="96"/>
      <c r="I472" s="97"/>
    </row>
    <row r="473" ht="15">
      <c r="B473" s="96"/>
      <c r="C473" s="76" t="s">
        <v>122</v>
      </c>
      <c r="H473" s="114">
        <f>H451+H456+H461+H466+H471</f>
        <v>0</v>
      </c>
      <c r="I473" s="115"/>
    </row>
    <row r="474">
      <c r="B474" s="96"/>
      <c r="I474" s="97"/>
    </row>
    <row r="475" ht="15">
      <c r="B475" s="96"/>
      <c r="C475" s="76" t="s">
        <v>123</v>
      </c>
      <c r="H475" s="76"/>
      <c r="I475" s="116">
        <f>I438-H473</f>
        <v>40111315</v>
      </c>
    </row>
    <row r="476">
      <c r="B476" s="117"/>
      <c r="C476" s="118"/>
      <c r="D476" s="118"/>
      <c r="E476" s="118"/>
      <c r="F476" s="119"/>
      <c r="G476" s="119"/>
      <c r="H476" s="119"/>
      <c r="I476" s="120"/>
    </row>
    <row r="480" ht="28.899999999999999" customHeight="1">
      <c r="B480" s="88" t="str">
        <f>B16</f>
        <v xml:space="preserve">CIBINONG KOTA</v>
      </c>
      <c r="C480" s="89"/>
      <c r="D480" s="89"/>
      <c r="E480" s="89"/>
      <c r="F480" s="89"/>
      <c r="G480" s="89"/>
      <c r="H480" s="89"/>
      <c r="I480" s="89"/>
    </row>
    <row r="481" ht="21.75">
      <c r="B481" s="90" t="s">
        <v>69</v>
      </c>
      <c r="C481" s="90"/>
      <c r="D481" s="90"/>
      <c r="E481" s="90"/>
      <c r="F481" s="90"/>
      <c r="G481" s="90"/>
      <c r="H481" s="90"/>
      <c r="I481" s="91"/>
    </row>
    <row r="482" ht="21.75">
      <c r="B482" s="86" t="s">
        <v>131</v>
      </c>
      <c r="C482" s="86"/>
      <c r="D482" s="86"/>
      <c r="E482" s="86"/>
      <c r="F482" s="86"/>
      <c r="G482" s="86"/>
      <c r="H482" s="86"/>
      <c r="I482" s="92"/>
    </row>
    <row r="484" ht="21.75">
      <c r="B484" s="93"/>
      <c r="C484" s="94" t="s">
        <v>71</v>
      </c>
      <c r="D484" s="94"/>
      <c r="E484" s="94"/>
      <c r="F484" s="94"/>
      <c r="G484" s="94"/>
      <c r="H484" s="94"/>
      <c r="I484" s="95"/>
    </row>
    <row r="485">
      <c r="B485" s="96"/>
      <c r="I485" s="97"/>
    </row>
    <row r="486" ht="21.75">
      <c r="B486" s="98"/>
      <c r="C486" s="99" t="s">
        <v>74</v>
      </c>
      <c r="D486" s="100"/>
      <c r="E486" s="100"/>
      <c r="F486" s="101" t="s">
        <v>75</v>
      </c>
      <c r="G486" s="101"/>
      <c r="H486" s="101" t="s">
        <v>76</v>
      </c>
      <c r="I486" s="102" t="s">
        <v>28</v>
      </c>
    </row>
    <row r="487">
      <c r="B487" s="96"/>
      <c r="I487" s="97"/>
    </row>
    <row r="488">
      <c r="B488" s="96"/>
      <c r="C488" s="76" t="s">
        <v>79</v>
      </c>
      <c r="H488" s="77">
        <f>'Rec.Data System-IN'!R24</f>
        <v>0</v>
      </c>
      <c r="I488" s="97">
        <f t="shared" ref="I488:I494" si="11">F488+H488</f>
        <v>0</v>
      </c>
    </row>
    <row r="489">
      <c r="B489" s="96"/>
      <c r="C489" s="76" t="s">
        <v>81</v>
      </c>
      <c r="H489" s="103">
        <f>'Rec.Data System-IN'!S24</f>
        <v>0</v>
      </c>
      <c r="I489" s="97">
        <f t="shared" si="11"/>
        <v>0</v>
      </c>
    </row>
    <row r="490" ht="25.5" customHeight="1">
      <c r="B490" s="96"/>
      <c r="C490" s="65" t="s">
        <v>83</v>
      </c>
      <c r="F490" s="77">
        <f>I451</f>
        <v>36139315</v>
      </c>
      <c r="H490" s="77">
        <f>SUM(H488:H489)</f>
        <v>0</v>
      </c>
      <c r="I490" s="97">
        <f t="shared" si="11"/>
        <v>36139315</v>
      </c>
    </row>
    <row r="491">
      <c r="B491" s="96"/>
      <c r="C491" s="76" t="s">
        <v>31</v>
      </c>
      <c r="F491" s="77">
        <f>I456</f>
        <v>0</v>
      </c>
      <c r="H491" s="77">
        <f>'Rec.Data System-IN'!T24</f>
        <v>0</v>
      </c>
      <c r="I491" s="97">
        <f t="shared" si="11"/>
        <v>0</v>
      </c>
    </row>
    <row r="492">
      <c r="B492" s="96"/>
      <c r="C492" s="76" t="s">
        <v>32</v>
      </c>
      <c r="F492" s="77">
        <f>I461</f>
        <v>3972000</v>
      </c>
      <c r="H492" s="77">
        <f>'Rec.Data System-IN'!U24</f>
        <v>0</v>
      </c>
      <c r="I492" s="97">
        <f t="shared" si="11"/>
        <v>3972000</v>
      </c>
    </row>
    <row r="493">
      <c r="B493" s="96"/>
      <c r="C493" s="76" t="s">
        <v>33</v>
      </c>
      <c r="F493" s="77">
        <f>I466</f>
        <v>0</v>
      </c>
      <c r="H493" s="77">
        <f>'Rec.Data System-IN'!V24</f>
        <v>0</v>
      </c>
      <c r="I493" s="97">
        <f t="shared" si="11"/>
        <v>0</v>
      </c>
    </row>
    <row r="494">
      <c r="B494" s="96"/>
      <c r="C494" s="76" t="s">
        <v>34</v>
      </c>
      <c r="F494" s="103">
        <f>I471</f>
        <v>0</v>
      </c>
      <c r="H494" s="77">
        <f>'Rec.Data System-IN'!W24</f>
        <v>0</v>
      </c>
      <c r="I494" s="97">
        <f t="shared" si="11"/>
        <v>0</v>
      </c>
    </row>
    <row r="495">
      <c r="B495" s="96"/>
      <c r="I495" s="97"/>
    </row>
    <row r="496" ht="15.75">
      <c r="B496" s="96"/>
      <c r="C496" s="76" t="s">
        <v>90</v>
      </c>
      <c r="I496" s="104">
        <f>SUM(I490:I494)</f>
        <v>40111315</v>
      </c>
    </row>
    <row r="497" ht="15">
      <c r="B497" s="96"/>
      <c r="I497" s="97"/>
    </row>
    <row r="498" ht="21.75">
      <c r="B498" s="105"/>
      <c r="C498" s="106" t="s">
        <v>93</v>
      </c>
      <c r="D498" s="106"/>
      <c r="E498" s="106"/>
      <c r="F498" s="106"/>
      <c r="G498" s="106"/>
      <c r="H498" s="106"/>
      <c r="I498" s="107"/>
    </row>
    <row r="499">
      <c r="B499" s="96"/>
      <c r="F499" s="76"/>
      <c r="H499" s="76"/>
      <c r="I499" s="97"/>
    </row>
    <row r="500" ht="21.75">
      <c r="B500" s="98"/>
      <c r="C500" s="99" t="s">
        <v>96</v>
      </c>
      <c r="D500" s="100"/>
      <c r="E500" s="99" t="s">
        <v>97</v>
      </c>
      <c r="F500" s="108" t="s">
        <v>98</v>
      </c>
      <c r="G500" s="101"/>
      <c r="H500" s="101"/>
      <c r="I500" s="102"/>
    </row>
    <row r="501">
      <c r="B501" s="109"/>
      <c r="F501" s="76" t="s">
        <v>100</v>
      </c>
      <c r="H501" s="110"/>
      <c r="I501" s="97"/>
    </row>
    <row r="502">
      <c r="B502" s="109"/>
      <c r="F502" s="76"/>
      <c r="H502" s="110"/>
      <c r="I502" s="97"/>
    </row>
    <row r="503">
      <c r="B503" s="109">
        <v>1</v>
      </c>
      <c r="F503" s="76" t="s">
        <v>103</v>
      </c>
      <c r="G503" s="76"/>
      <c r="H503" s="111">
        <v>0</v>
      </c>
      <c r="I503" s="97"/>
    </row>
    <row r="504">
      <c r="B504" s="109">
        <v>2</v>
      </c>
      <c r="F504" s="76" t="s">
        <v>103</v>
      </c>
      <c r="G504" s="76"/>
      <c r="H504" s="111">
        <v>0</v>
      </c>
      <c r="I504" s="97"/>
    </row>
    <row r="505">
      <c r="B505" s="109">
        <v>3</v>
      </c>
      <c r="F505" s="76" t="s">
        <v>103</v>
      </c>
      <c r="G505" s="76"/>
      <c r="H505" s="111">
        <v>0</v>
      </c>
      <c r="I505" s="97"/>
    </row>
    <row r="506">
      <c r="B506" s="109">
        <v>4</v>
      </c>
      <c r="F506" s="76" t="s">
        <v>103</v>
      </c>
      <c r="G506" s="76"/>
      <c r="H506" s="111">
        <v>0</v>
      </c>
      <c r="I506" s="97"/>
    </row>
    <row r="507">
      <c r="B507" s="109">
        <v>5</v>
      </c>
      <c r="F507" s="76" t="s">
        <v>103</v>
      </c>
      <c r="G507" s="76"/>
      <c r="H507" s="111">
        <v>0</v>
      </c>
      <c r="I507" s="97"/>
      <c r="N507" s="77"/>
      <c r="O507" s="77"/>
    </row>
    <row r="508" ht="16.5">
      <c r="B508" s="109">
        <v>6</v>
      </c>
      <c r="F508" s="76" t="s">
        <v>103</v>
      </c>
      <c r="G508" s="76"/>
      <c r="H508" s="112">
        <v>0</v>
      </c>
      <c r="I508" s="97"/>
      <c r="N508" s="77"/>
      <c r="O508" s="77"/>
    </row>
    <row r="509">
      <c r="B509" s="109"/>
      <c r="C509" s="113" t="s">
        <v>106</v>
      </c>
      <c r="F509" s="76"/>
      <c r="G509" s="76"/>
      <c r="H509" s="111">
        <f>SUM(H503:H508)</f>
        <v>0</v>
      </c>
      <c r="I509" s="97">
        <f>I490-H509</f>
        <v>36139315</v>
      </c>
      <c r="N509" s="77"/>
      <c r="O509" s="77"/>
    </row>
    <row r="510">
      <c r="B510" s="109">
        <v>1</v>
      </c>
      <c r="F510" s="76" t="s">
        <v>31</v>
      </c>
      <c r="G510" s="76"/>
      <c r="H510" s="111">
        <v>0</v>
      </c>
      <c r="I510" s="97"/>
      <c r="N510" s="77"/>
      <c r="O510" s="77"/>
    </row>
    <row r="511">
      <c r="B511" s="109">
        <v>2</v>
      </c>
      <c r="F511" s="76" t="s">
        <v>31</v>
      </c>
      <c r="G511" s="76"/>
      <c r="H511" s="111">
        <v>0</v>
      </c>
      <c r="I511" s="97"/>
      <c r="N511" s="77"/>
      <c r="O511" s="77"/>
    </row>
    <row r="512">
      <c r="B512" s="109">
        <v>3</v>
      </c>
      <c r="F512" s="76" t="s">
        <v>31</v>
      </c>
      <c r="G512" s="76"/>
      <c r="H512" s="111">
        <v>0</v>
      </c>
      <c r="I512" s="97"/>
      <c r="N512" s="77"/>
      <c r="O512" s="77"/>
    </row>
    <row r="513" ht="16.5">
      <c r="B513" s="109">
        <v>4</v>
      </c>
      <c r="F513" s="76" t="s">
        <v>31</v>
      </c>
      <c r="G513" s="76"/>
      <c r="H513" s="112">
        <v>0</v>
      </c>
      <c r="I513" s="97"/>
      <c r="N513" s="77"/>
      <c r="O513" s="77"/>
    </row>
    <row r="514">
      <c r="B514" s="109"/>
      <c r="C514" s="113" t="s">
        <v>112</v>
      </c>
      <c r="F514" s="76"/>
      <c r="G514" s="76"/>
      <c r="H514" s="111">
        <f>SUM(H510:H513)</f>
        <v>0</v>
      </c>
      <c r="I514" s="97">
        <f>I491-H514</f>
        <v>0</v>
      </c>
      <c r="N514" s="77"/>
      <c r="O514" s="77"/>
    </row>
    <row r="515">
      <c r="B515" s="109">
        <v>1</v>
      </c>
      <c r="F515" s="76" t="s">
        <v>32</v>
      </c>
      <c r="G515" s="76"/>
      <c r="H515" s="111">
        <v>0</v>
      </c>
      <c r="I515" s="97"/>
      <c r="N515" s="77"/>
      <c r="O515" s="77"/>
    </row>
    <row r="516">
      <c r="B516" s="109">
        <v>2</v>
      </c>
      <c r="F516" s="76" t="s">
        <v>32</v>
      </c>
      <c r="G516" s="76"/>
      <c r="H516" s="111">
        <v>0</v>
      </c>
      <c r="I516" s="97"/>
      <c r="N516" s="77"/>
      <c r="O516" s="77"/>
    </row>
    <row r="517">
      <c r="B517" s="109">
        <v>3</v>
      </c>
      <c r="F517" s="76" t="s">
        <v>32</v>
      </c>
      <c r="G517" s="76"/>
      <c r="H517" s="111">
        <v>0</v>
      </c>
      <c r="I517" s="97"/>
      <c r="N517" s="77"/>
      <c r="O517" s="77"/>
    </row>
    <row r="518" ht="16.5">
      <c r="B518" s="109">
        <v>4</v>
      </c>
      <c r="F518" s="76" t="s">
        <v>32</v>
      </c>
      <c r="G518" s="76"/>
      <c r="H518" s="112">
        <v>0</v>
      </c>
      <c r="I518" s="97"/>
      <c r="N518" s="77"/>
      <c r="O518" s="77"/>
    </row>
    <row r="519">
      <c r="B519" s="109"/>
      <c r="C519" s="113" t="s">
        <v>116</v>
      </c>
      <c r="F519" s="76"/>
      <c r="G519" s="76"/>
      <c r="H519" s="111">
        <f>SUM(H515:H518)</f>
        <v>0</v>
      </c>
      <c r="I519" s="97">
        <f>I492-H519</f>
        <v>3972000</v>
      </c>
      <c r="N519" s="77"/>
      <c r="O519" s="77"/>
    </row>
    <row r="520">
      <c r="B520" s="109">
        <v>1</v>
      </c>
      <c r="F520" s="76" t="s">
        <v>33</v>
      </c>
      <c r="G520" s="76"/>
      <c r="H520" s="111">
        <v>0</v>
      </c>
      <c r="I520" s="97"/>
      <c r="N520" s="77"/>
      <c r="O520" s="77"/>
    </row>
    <row r="521">
      <c r="B521" s="109">
        <v>2</v>
      </c>
      <c r="F521" s="76" t="s">
        <v>33</v>
      </c>
      <c r="G521" s="76"/>
      <c r="H521" s="111">
        <v>0</v>
      </c>
      <c r="I521" s="97"/>
      <c r="N521" s="77"/>
      <c r="O521" s="77"/>
    </row>
    <row r="522">
      <c r="B522" s="109">
        <v>3</v>
      </c>
      <c r="F522" s="76" t="s">
        <v>33</v>
      </c>
      <c r="G522" s="76"/>
      <c r="H522" s="111">
        <v>0</v>
      </c>
      <c r="I522" s="97"/>
      <c r="N522" s="77"/>
      <c r="O522" s="77"/>
    </row>
    <row r="523" ht="16.5">
      <c r="B523" s="109">
        <v>4</v>
      </c>
      <c r="F523" s="76" t="s">
        <v>33</v>
      </c>
      <c r="G523" s="76"/>
      <c r="H523" s="112">
        <v>0</v>
      </c>
      <c r="I523" s="97"/>
      <c r="N523" s="77"/>
      <c r="O523" s="77"/>
    </row>
    <row r="524">
      <c r="B524" s="109"/>
      <c r="C524" s="113" t="s">
        <v>117</v>
      </c>
      <c r="F524" s="76"/>
      <c r="G524" s="76"/>
      <c r="H524" s="111">
        <f>SUM(H520:H523)</f>
        <v>0</v>
      </c>
      <c r="I524" s="97">
        <f>I493-H524</f>
        <v>0</v>
      </c>
      <c r="N524" s="77"/>
      <c r="O524" s="77"/>
    </row>
    <row r="525">
      <c r="B525" s="109">
        <v>1</v>
      </c>
      <c r="F525" s="76" t="s">
        <v>118</v>
      </c>
      <c r="G525" s="76"/>
      <c r="H525" s="111">
        <v>0</v>
      </c>
      <c r="I525" s="97"/>
      <c r="N525" s="77"/>
      <c r="O525" s="77"/>
    </row>
    <row r="526">
      <c r="B526" s="109">
        <v>2</v>
      </c>
      <c r="F526" s="76" t="s">
        <v>118</v>
      </c>
      <c r="G526" s="76"/>
      <c r="H526" s="111">
        <v>0</v>
      </c>
      <c r="I526" s="97"/>
      <c r="N526" s="77"/>
      <c r="O526" s="77"/>
    </row>
    <row r="527">
      <c r="B527" s="109">
        <v>3</v>
      </c>
      <c r="F527" s="76" t="s">
        <v>118</v>
      </c>
      <c r="G527" s="76"/>
      <c r="H527" s="111">
        <v>0</v>
      </c>
      <c r="I527" s="97"/>
      <c r="N527" s="77"/>
      <c r="O527" s="77"/>
    </row>
    <row r="528" ht="16.5">
      <c r="B528" s="109">
        <v>4</v>
      </c>
      <c r="F528" s="76" t="s">
        <v>118</v>
      </c>
      <c r="G528" s="76"/>
      <c r="H528" s="112">
        <v>0</v>
      </c>
      <c r="I528" s="97"/>
      <c r="N528" s="77"/>
      <c r="O528" s="77"/>
    </row>
    <row r="529">
      <c r="B529" s="109"/>
      <c r="C529" s="113" t="s">
        <v>121</v>
      </c>
      <c r="F529" s="76"/>
      <c r="G529" s="76"/>
      <c r="H529" s="111">
        <f>SUM(H525:H528)</f>
        <v>0</v>
      </c>
      <c r="I529" s="97">
        <f>I494-H529</f>
        <v>0</v>
      </c>
      <c r="N529" s="77"/>
      <c r="O529" s="77"/>
    </row>
    <row r="530">
      <c r="B530" s="96"/>
      <c r="I530" s="97"/>
    </row>
    <row r="531" ht="15">
      <c r="B531" s="96"/>
      <c r="C531" s="76" t="s">
        <v>122</v>
      </c>
      <c r="H531" s="114">
        <f>H509+H514+H519+H524+H529</f>
        <v>0</v>
      </c>
      <c r="I531" s="115"/>
    </row>
    <row r="532">
      <c r="B532" s="96"/>
      <c r="I532" s="97"/>
    </row>
    <row r="533" ht="15">
      <c r="B533" s="96"/>
      <c r="C533" s="76" t="s">
        <v>123</v>
      </c>
      <c r="H533" s="76"/>
      <c r="I533" s="116">
        <f>I496-H531</f>
        <v>40111315</v>
      </c>
    </row>
    <row r="534">
      <c r="B534" s="117"/>
      <c r="C534" s="118"/>
      <c r="D534" s="118"/>
      <c r="E534" s="118"/>
      <c r="F534" s="119"/>
      <c r="G534" s="119"/>
      <c r="H534" s="119"/>
      <c r="I534" s="120"/>
    </row>
    <row r="538" ht="28.899999999999999" customHeight="1">
      <c r="B538" s="88" t="str">
        <f>B16</f>
        <v xml:space="preserve">CIBINONG KOTA</v>
      </c>
      <c r="C538" s="89"/>
      <c r="D538" s="89"/>
      <c r="E538" s="89"/>
      <c r="F538" s="89"/>
      <c r="G538" s="89"/>
      <c r="H538" s="89"/>
      <c r="I538" s="89"/>
    </row>
    <row r="539" ht="21.75">
      <c r="B539" s="90" t="s">
        <v>69</v>
      </c>
      <c r="C539" s="90"/>
      <c r="D539" s="90"/>
      <c r="E539" s="90"/>
      <c r="F539" s="90"/>
      <c r="G539" s="90"/>
      <c r="H539" s="90"/>
      <c r="I539" s="91"/>
    </row>
    <row r="540" ht="21.75">
      <c r="B540" s="86" t="s">
        <v>132</v>
      </c>
      <c r="C540" s="86"/>
      <c r="D540" s="86"/>
      <c r="E540" s="86"/>
      <c r="F540" s="86"/>
      <c r="G540" s="86"/>
      <c r="H540" s="86"/>
      <c r="I540" s="92"/>
    </row>
    <row r="542" ht="21.75">
      <c r="B542" s="93"/>
      <c r="C542" s="94" t="s">
        <v>71</v>
      </c>
      <c r="D542" s="94"/>
      <c r="E542" s="94"/>
      <c r="F542" s="94"/>
      <c r="G542" s="94"/>
      <c r="H542" s="94"/>
      <c r="I542" s="95"/>
    </row>
    <row r="543">
      <c r="B543" s="96"/>
      <c r="I543" s="97"/>
    </row>
    <row r="544" ht="21.75">
      <c r="B544" s="98"/>
      <c r="C544" s="99" t="s">
        <v>74</v>
      </c>
      <c r="D544" s="100"/>
      <c r="E544" s="100"/>
      <c r="F544" s="101" t="s">
        <v>75</v>
      </c>
      <c r="G544" s="101"/>
      <c r="H544" s="101" t="s">
        <v>76</v>
      </c>
      <c r="I544" s="102" t="s">
        <v>28</v>
      </c>
    </row>
    <row r="545">
      <c r="B545" s="96"/>
      <c r="I545" s="97"/>
    </row>
    <row r="546">
      <c r="B546" s="96"/>
      <c r="C546" s="76" t="s">
        <v>79</v>
      </c>
      <c r="H546" s="77">
        <f>'Rec.Data System-IN'!R25</f>
        <v>4011257</v>
      </c>
      <c r="I546" s="97">
        <f t="shared" ref="I546:I552" si="12">F546+H546</f>
        <v>4011257</v>
      </c>
    </row>
    <row r="547">
      <c r="B547" s="96"/>
      <c r="C547" s="76" t="s">
        <v>81</v>
      </c>
      <c r="H547" s="103">
        <f>'Rec.Data System-IN'!S25</f>
        <v>1671375</v>
      </c>
      <c r="I547" s="97">
        <f t="shared" si="12"/>
        <v>1671375</v>
      </c>
    </row>
    <row r="548" ht="25.5" customHeight="1">
      <c r="B548" s="96"/>
      <c r="C548" s="65" t="s">
        <v>83</v>
      </c>
      <c r="F548" s="77">
        <f>I509</f>
        <v>36139315</v>
      </c>
      <c r="H548" s="77">
        <f>SUM(H546:H547)</f>
        <v>5682632</v>
      </c>
      <c r="I548" s="97">
        <f t="shared" si="12"/>
        <v>41821947</v>
      </c>
    </row>
    <row r="549">
      <c r="B549" s="96"/>
      <c r="C549" s="76" t="s">
        <v>31</v>
      </c>
      <c r="F549" s="77">
        <f>I514</f>
        <v>0</v>
      </c>
      <c r="H549" s="77">
        <f>'Rec.Data System-IN'!T25</f>
        <v>0</v>
      </c>
      <c r="I549" s="97">
        <f t="shared" si="12"/>
        <v>0</v>
      </c>
    </row>
    <row r="550">
      <c r="B550" s="96"/>
      <c r="C550" s="76" t="s">
        <v>32</v>
      </c>
      <c r="F550" s="77">
        <f>I519</f>
        <v>3972000</v>
      </c>
      <c r="H550" s="77">
        <f>'Rec.Data System-IN'!U25</f>
        <v>2600000</v>
      </c>
      <c r="I550" s="97">
        <f t="shared" si="12"/>
        <v>6572000</v>
      </c>
    </row>
    <row r="551">
      <c r="B551" s="96"/>
      <c r="C551" s="76" t="s">
        <v>33</v>
      </c>
      <c r="F551" s="77">
        <f>I524</f>
        <v>0</v>
      </c>
      <c r="H551" s="77">
        <f>'Rec.Data System-IN'!V25</f>
        <v>0</v>
      </c>
      <c r="I551" s="97">
        <f t="shared" si="12"/>
        <v>0</v>
      </c>
    </row>
    <row r="552">
      <c r="B552" s="96"/>
      <c r="C552" s="76" t="s">
        <v>34</v>
      </c>
      <c r="F552" s="103">
        <f>I529</f>
        <v>0</v>
      </c>
      <c r="H552" s="77">
        <f>'Rec.Data System-IN'!W25</f>
        <v>0</v>
      </c>
      <c r="I552" s="97">
        <f t="shared" si="12"/>
        <v>0</v>
      </c>
    </row>
    <row r="553">
      <c r="B553" s="96"/>
      <c r="I553" s="97"/>
    </row>
    <row r="554" ht="15.75">
      <c r="B554" s="96"/>
      <c r="C554" s="76" t="s">
        <v>90</v>
      </c>
      <c r="I554" s="104">
        <f>SUM(I548:I552)</f>
        <v>48393947</v>
      </c>
    </row>
    <row r="555" ht="15">
      <c r="B555" s="96"/>
      <c r="I555" s="97"/>
    </row>
    <row r="556" ht="21.75">
      <c r="B556" s="105"/>
      <c r="C556" s="106" t="s">
        <v>93</v>
      </c>
      <c r="D556" s="106"/>
      <c r="E556" s="106"/>
      <c r="F556" s="106"/>
      <c r="G556" s="106"/>
      <c r="H556" s="106"/>
      <c r="I556" s="107"/>
    </row>
    <row r="557">
      <c r="B557" s="96"/>
      <c r="F557" s="76"/>
      <c r="H557" s="76"/>
      <c r="I557" s="97"/>
    </row>
    <row r="558" ht="21.75">
      <c r="B558" s="98"/>
      <c r="C558" s="99" t="s">
        <v>96</v>
      </c>
      <c r="D558" s="100"/>
      <c r="E558" s="99" t="s">
        <v>97</v>
      </c>
      <c r="F558" s="108" t="s">
        <v>98</v>
      </c>
      <c r="G558" s="101"/>
      <c r="H558" s="101"/>
      <c r="I558" s="102"/>
    </row>
    <row r="559">
      <c r="B559" s="109"/>
      <c r="F559" s="76" t="s">
        <v>100</v>
      </c>
      <c r="H559" s="110"/>
      <c r="I559" s="97"/>
    </row>
    <row r="560">
      <c r="B560" s="109"/>
      <c r="F560" s="76"/>
      <c r="H560" s="110"/>
      <c r="I560" s="97"/>
    </row>
    <row r="561">
      <c r="B561" s="109">
        <v>1</v>
      </c>
      <c r="F561" s="76" t="s">
        <v>103</v>
      </c>
      <c r="G561" s="76"/>
      <c r="H561" s="111">
        <v>0</v>
      </c>
      <c r="I561" s="97"/>
    </row>
    <row r="562">
      <c r="B562" s="109">
        <v>2</v>
      </c>
      <c r="F562" s="76" t="s">
        <v>103</v>
      </c>
      <c r="G562" s="76"/>
      <c r="H562" s="111">
        <v>0</v>
      </c>
      <c r="I562" s="97"/>
    </row>
    <row r="563">
      <c r="B563" s="109">
        <v>3</v>
      </c>
      <c r="F563" s="76" t="s">
        <v>103</v>
      </c>
      <c r="G563" s="76"/>
      <c r="H563" s="111">
        <v>0</v>
      </c>
      <c r="I563" s="97"/>
    </row>
    <row r="564">
      <c r="B564" s="109">
        <v>4</v>
      </c>
      <c r="F564" s="76" t="s">
        <v>103</v>
      </c>
      <c r="G564" s="76"/>
      <c r="H564" s="111">
        <v>0</v>
      </c>
      <c r="I564" s="97"/>
    </row>
    <row r="565">
      <c r="B565" s="109">
        <v>5</v>
      </c>
      <c r="F565" s="76" t="s">
        <v>103</v>
      </c>
      <c r="G565" s="76"/>
      <c r="H565" s="111">
        <v>0</v>
      </c>
      <c r="I565" s="97"/>
      <c r="N565" s="77"/>
      <c r="O565" s="77"/>
    </row>
    <row r="566" ht="16.5">
      <c r="B566" s="109">
        <v>6</v>
      </c>
      <c r="F566" s="76" t="s">
        <v>103</v>
      </c>
      <c r="G566" s="76"/>
      <c r="H566" s="112">
        <v>0</v>
      </c>
      <c r="I566" s="97"/>
      <c r="N566" s="77"/>
      <c r="O566" s="77"/>
    </row>
    <row r="567">
      <c r="B567" s="109"/>
      <c r="C567" s="113" t="s">
        <v>106</v>
      </c>
      <c r="F567" s="76"/>
      <c r="G567" s="76"/>
      <c r="H567" s="111">
        <f>SUM(H561:H566)</f>
        <v>0</v>
      </c>
      <c r="I567" s="97">
        <f>I548-H567</f>
        <v>41821947</v>
      </c>
      <c r="N567" s="77"/>
      <c r="O567" s="77"/>
    </row>
    <row r="568">
      <c r="B568" s="109">
        <v>1</v>
      </c>
      <c r="F568" s="76" t="s">
        <v>31</v>
      </c>
      <c r="G568" s="76"/>
      <c r="H568" s="111">
        <v>0</v>
      </c>
      <c r="I568" s="97"/>
      <c r="N568" s="77"/>
      <c r="O568" s="77"/>
    </row>
    <row r="569">
      <c r="B569" s="109">
        <v>2</v>
      </c>
      <c r="F569" s="76" t="s">
        <v>31</v>
      </c>
      <c r="G569" s="76"/>
      <c r="H569" s="111">
        <v>0</v>
      </c>
      <c r="I569" s="97"/>
      <c r="N569" s="77"/>
      <c r="O569" s="77"/>
    </row>
    <row r="570">
      <c r="B570" s="109">
        <v>3</v>
      </c>
      <c r="F570" s="76" t="s">
        <v>31</v>
      </c>
      <c r="G570" s="76"/>
      <c r="H570" s="111">
        <v>0</v>
      </c>
      <c r="I570" s="97"/>
      <c r="N570" s="77"/>
      <c r="O570" s="77"/>
    </row>
    <row r="571" ht="16.5">
      <c r="B571" s="109">
        <v>4</v>
      </c>
      <c r="F571" s="76" t="s">
        <v>31</v>
      </c>
      <c r="G571" s="76"/>
      <c r="H571" s="112">
        <v>0</v>
      </c>
      <c r="I571" s="97"/>
      <c r="N571" s="77"/>
      <c r="O571" s="77"/>
    </row>
    <row r="572">
      <c r="B572" s="109"/>
      <c r="C572" s="113" t="s">
        <v>112</v>
      </c>
      <c r="F572" s="76"/>
      <c r="G572" s="76"/>
      <c r="H572" s="111">
        <f>SUM(H568:H571)</f>
        <v>0</v>
      </c>
      <c r="I572" s="97">
        <f>I549-H572</f>
        <v>0</v>
      </c>
      <c r="N572" s="77"/>
      <c r="O572" s="77"/>
    </row>
    <row r="573">
      <c r="B573" s="109">
        <v>1</v>
      </c>
      <c r="F573" s="76" t="s">
        <v>32</v>
      </c>
      <c r="G573" s="76"/>
      <c r="H573" s="111">
        <v>0</v>
      </c>
      <c r="I573" s="97"/>
      <c r="N573" s="77"/>
      <c r="O573" s="77"/>
    </row>
    <row r="574">
      <c r="B574" s="109">
        <v>2</v>
      </c>
      <c r="F574" s="76" t="s">
        <v>32</v>
      </c>
      <c r="G574" s="76"/>
      <c r="H574" s="111">
        <v>0</v>
      </c>
      <c r="I574" s="97"/>
      <c r="N574" s="77"/>
      <c r="O574" s="77"/>
    </row>
    <row r="575">
      <c r="B575" s="109">
        <v>3</v>
      </c>
      <c r="F575" s="76" t="s">
        <v>32</v>
      </c>
      <c r="G575" s="76"/>
      <c r="H575" s="111">
        <v>0</v>
      </c>
      <c r="I575" s="97"/>
      <c r="N575" s="77"/>
      <c r="O575" s="77"/>
    </row>
    <row r="576" ht="16.5">
      <c r="B576" s="109">
        <v>4</v>
      </c>
      <c r="F576" s="76" t="s">
        <v>32</v>
      </c>
      <c r="G576" s="76"/>
      <c r="H576" s="112">
        <v>0</v>
      </c>
      <c r="I576" s="97"/>
      <c r="N576" s="77"/>
      <c r="O576" s="77"/>
    </row>
    <row r="577">
      <c r="B577" s="109"/>
      <c r="C577" s="113" t="s">
        <v>116</v>
      </c>
      <c r="F577" s="76"/>
      <c r="G577" s="76"/>
      <c r="H577" s="111">
        <f>SUM(H573:H576)</f>
        <v>0</v>
      </c>
      <c r="I577" s="97">
        <f>I550-H577</f>
        <v>6572000</v>
      </c>
      <c r="N577" s="77"/>
      <c r="O577" s="77"/>
    </row>
    <row r="578">
      <c r="B578" s="109">
        <v>1</v>
      </c>
      <c r="F578" s="76" t="s">
        <v>33</v>
      </c>
      <c r="G578" s="76"/>
      <c r="H578" s="111">
        <v>0</v>
      </c>
      <c r="I578" s="97"/>
      <c r="N578" s="77"/>
      <c r="O578" s="77"/>
    </row>
    <row r="579">
      <c r="B579" s="109">
        <v>2</v>
      </c>
      <c r="F579" s="76" t="s">
        <v>33</v>
      </c>
      <c r="G579" s="76"/>
      <c r="H579" s="111">
        <v>0</v>
      </c>
      <c r="I579" s="97"/>
      <c r="N579" s="77"/>
      <c r="O579" s="77"/>
    </row>
    <row r="580">
      <c r="B580" s="109">
        <v>3</v>
      </c>
      <c r="F580" s="76" t="s">
        <v>33</v>
      </c>
      <c r="G580" s="76"/>
      <c r="H580" s="111">
        <v>0</v>
      </c>
      <c r="I580" s="97"/>
      <c r="N580" s="77"/>
      <c r="O580" s="77"/>
    </row>
    <row r="581" ht="16.5">
      <c r="B581" s="109">
        <v>4</v>
      </c>
      <c r="F581" s="76" t="s">
        <v>33</v>
      </c>
      <c r="G581" s="76"/>
      <c r="H581" s="112">
        <v>0</v>
      </c>
      <c r="I581" s="97"/>
      <c r="N581" s="77"/>
      <c r="O581" s="77"/>
    </row>
    <row r="582">
      <c r="B582" s="109"/>
      <c r="C582" s="113" t="s">
        <v>117</v>
      </c>
      <c r="F582" s="76"/>
      <c r="G582" s="76"/>
      <c r="H582" s="111">
        <f>SUM(H578:H581)</f>
        <v>0</v>
      </c>
      <c r="I582" s="97">
        <f>I551-H582</f>
        <v>0</v>
      </c>
      <c r="N582" s="77"/>
      <c r="O582" s="77"/>
    </row>
    <row r="583">
      <c r="B583" s="109">
        <v>1</v>
      </c>
      <c r="F583" s="76" t="s">
        <v>118</v>
      </c>
      <c r="G583" s="76"/>
      <c r="H583" s="111">
        <v>0</v>
      </c>
      <c r="I583" s="97"/>
      <c r="N583" s="77"/>
      <c r="O583" s="77"/>
    </row>
    <row r="584">
      <c r="B584" s="109">
        <v>2</v>
      </c>
      <c r="F584" s="76" t="s">
        <v>118</v>
      </c>
      <c r="G584" s="76"/>
      <c r="H584" s="111">
        <v>0</v>
      </c>
      <c r="I584" s="97"/>
      <c r="N584" s="77"/>
      <c r="O584" s="77"/>
    </row>
    <row r="585">
      <c r="B585" s="109">
        <v>3</v>
      </c>
      <c r="F585" s="76" t="s">
        <v>118</v>
      </c>
      <c r="G585" s="76"/>
      <c r="H585" s="111">
        <v>0</v>
      </c>
      <c r="I585" s="97"/>
      <c r="N585" s="77"/>
      <c r="O585" s="77"/>
    </row>
    <row r="586" ht="16.5">
      <c r="B586" s="109">
        <v>4</v>
      </c>
      <c r="F586" s="76" t="s">
        <v>118</v>
      </c>
      <c r="G586" s="76"/>
      <c r="H586" s="112">
        <v>0</v>
      </c>
      <c r="I586" s="97"/>
      <c r="N586" s="77"/>
      <c r="O586" s="77"/>
    </row>
    <row r="587">
      <c r="B587" s="109"/>
      <c r="C587" s="113" t="s">
        <v>121</v>
      </c>
      <c r="F587" s="76"/>
      <c r="G587" s="76"/>
      <c r="H587" s="111">
        <f>SUM(H583:H586)</f>
        <v>0</v>
      </c>
      <c r="I587" s="97">
        <f>I552-H587</f>
        <v>0</v>
      </c>
      <c r="N587" s="77"/>
      <c r="O587" s="77"/>
    </row>
    <row r="588">
      <c r="B588" s="96"/>
      <c r="I588" s="97"/>
    </row>
    <row r="589" ht="15">
      <c r="B589" s="96"/>
      <c r="C589" s="76" t="s">
        <v>122</v>
      </c>
      <c r="H589" s="114">
        <f>H567+H572+H577+H582+H587</f>
        <v>0</v>
      </c>
      <c r="I589" s="115"/>
    </row>
    <row r="590">
      <c r="B590" s="96"/>
      <c r="I590" s="97"/>
    </row>
    <row r="591" ht="15">
      <c r="B591" s="96"/>
      <c r="C591" s="76" t="s">
        <v>123</v>
      </c>
      <c r="H591" s="76"/>
      <c r="I591" s="116">
        <f>I554-H589</f>
        <v>48393947</v>
      </c>
    </row>
    <row r="592">
      <c r="B592" s="117"/>
      <c r="C592" s="118"/>
      <c r="D592" s="118"/>
      <c r="E592" s="118"/>
      <c r="F592" s="119"/>
      <c r="G592" s="119"/>
      <c r="H592" s="119"/>
      <c r="I592" s="120"/>
    </row>
    <row r="596" ht="28.899999999999999" customHeight="1">
      <c r="B596" s="88" t="str">
        <f>B16</f>
        <v xml:space="preserve">CIBINONG KOTA</v>
      </c>
      <c r="C596" s="89"/>
      <c r="D596" s="89"/>
      <c r="E596" s="89"/>
      <c r="F596" s="89"/>
      <c r="G596" s="89"/>
      <c r="H596" s="89"/>
      <c r="I596" s="89"/>
    </row>
    <row r="597" ht="21.75">
      <c r="B597" s="90" t="s">
        <v>69</v>
      </c>
      <c r="C597" s="90"/>
      <c r="D597" s="90"/>
      <c r="E597" s="90"/>
      <c r="F597" s="90"/>
      <c r="G597" s="90"/>
      <c r="H597" s="90"/>
      <c r="I597" s="91"/>
    </row>
    <row r="598" ht="21.75">
      <c r="B598" s="86" t="s">
        <v>133</v>
      </c>
      <c r="C598" s="86"/>
      <c r="D598" s="86"/>
      <c r="E598" s="86"/>
      <c r="F598" s="86"/>
      <c r="G598" s="86"/>
      <c r="H598" s="86"/>
      <c r="I598" s="92"/>
    </row>
    <row r="600" ht="21.75">
      <c r="B600" s="93"/>
      <c r="C600" s="94" t="s">
        <v>71</v>
      </c>
      <c r="D600" s="94"/>
      <c r="E600" s="94"/>
      <c r="F600" s="94"/>
      <c r="G600" s="94"/>
      <c r="H600" s="94"/>
      <c r="I600" s="95"/>
    </row>
    <row r="601">
      <c r="B601" s="96"/>
      <c r="I601" s="97"/>
    </row>
    <row r="602" ht="21.75">
      <c r="B602" s="98"/>
      <c r="C602" s="99" t="s">
        <v>74</v>
      </c>
      <c r="D602" s="100"/>
      <c r="E602" s="100"/>
      <c r="F602" s="101" t="s">
        <v>75</v>
      </c>
      <c r="G602" s="101"/>
      <c r="H602" s="101" t="s">
        <v>76</v>
      </c>
      <c r="I602" s="102" t="s">
        <v>28</v>
      </c>
    </row>
    <row r="603">
      <c r="B603" s="96"/>
      <c r="I603" s="97"/>
    </row>
    <row r="604">
      <c r="B604" s="96"/>
      <c r="C604" s="76" t="s">
        <v>79</v>
      </c>
      <c r="H604" s="77">
        <f>'Rec.Data System-IN'!R26</f>
        <v>4124577</v>
      </c>
      <c r="I604" s="97">
        <f t="shared" ref="I604:I610" si="13">F604+H604</f>
        <v>4124577</v>
      </c>
    </row>
    <row r="605">
      <c r="B605" s="96"/>
      <c r="C605" s="76" t="s">
        <v>81</v>
      </c>
      <c r="H605" s="103">
        <f>'Rec.Data System-IN'!S26</f>
        <v>1567155</v>
      </c>
      <c r="I605" s="97">
        <f t="shared" si="13"/>
        <v>1567155</v>
      </c>
    </row>
    <row r="606" ht="25.5" customHeight="1">
      <c r="B606" s="96"/>
      <c r="C606" s="65" t="s">
        <v>83</v>
      </c>
      <c r="F606" s="77">
        <f>I567</f>
        <v>41821947</v>
      </c>
      <c r="H606" s="77">
        <f>SUM(H604:H605)</f>
        <v>5691732</v>
      </c>
      <c r="I606" s="97">
        <f t="shared" si="13"/>
        <v>47513679</v>
      </c>
    </row>
    <row r="607">
      <c r="B607" s="96"/>
      <c r="C607" s="76" t="s">
        <v>31</v>
      </c>
      <c r="F607" s="77">
        <f>I572</f>
        <v>0</v>
      </c>
      <c r="H607" s="77">
        <f>'Rec.Data System-IN'!T26</f>
        <v>0</v>
      </c>
      <c r="I607" s="97">
        <f t="shared" si="13"/>
        <v>0</v>
      </c>
    </row>
    <row r="608">
      <c r="B608" s="96"/>
      <c r="C608" s="76" t="s">
        <v>32</v>
      </c>
      <c r="F608" s="77">
        <f>I577</f>
        <v>6572000</v>
      </c>
      <c r="H608" s="77">
        <f>'Rec.Data System-IN'!U26</f>
        <v>8700000</v>
      </c>
      <c r="I608" s="97">
        <f t="shared" si="13"/>
        <v>15272000</v>
      </c>
    </row>
    <row r="609">
      <c r="B609" s="96"/>
      <c r="C609" s="76" t="s">
        <v>33</v>
      </c>
      <c r="F609" s="77">
        <f>I582</f>
        <v>0</v>
      </c>
      <c r="H609" s="77">
        <f>'Rec.Data System-IN'!V26</f>
        <v>0</v>
      </c>
      <c r="I609" s="97">
        <f t="shared" si="13"/>
        <v>0</v>
      </c>
    </row>
    <row r="610">
      <c r="B610" s="96"/>
      <c r="C610" s="76" t="s">
        <v>34</v>
      </c>
      <c r="F610" s="103">
        <f>I587</f>
        <v>0</v>
      </c>
      <c r="H610" s="77">
        <f>'Rec.Data System-IN'!W26</f>
        <v>0</v>
      </c>
      <c r="I610" s="97">
        <f t="shared" si="13"/>
        <v>0</v>
      </c>
    </row>
    <row r="611">
      <c r="B611" s="96"/>
      <c r="I611" s="97"/>
    </row>
    <row r="612" ht="15.75">
      <c r="B612" s="96"/>
      <c r="C612" s="76" t="s">
        <v>90</v>
      </c>
      <c r="I612" s="104">
        <f>SUM(I606:I610)</f>
        <v>62785679</v>
      </c>
    </row>
    <row r="613" ht="15">
      <c r="B613" s="96"/>
      <c r="I613" s="97"/>
    </row>
    <row r="614" ht="21.75">
      <c r="B614" s="105"/>
      <c r="C614" s="106" t="s">
        <v>93</v>
      </c>
      <c r="D614" s="106"/>
      <c r="E614" s="106"/>
      <c r="F614" s="106"/>
      <c r="G614" s="106"/>
      <c r="H614" s="106"/>
      <c r="I614" s="107"/>
    </row>
    <row r="615">
      <c r="B615" s="96"/>
      <c r="F615" s="76"/>
      <c r="H615" s="76"/>
      <c r="I615" s="97"/>
    </row>
    <row r="616" ht="21.75">
      <c r="B616" s="98"/>
      <c r="C616" s="99" t="s">
        <v>96</v>
      </c>
      <c r="D616" s="100"/>
      <c r="E616" s="99" t="s">
        <v>97</v>
      </c>
      <c r="F616" s="108" t="s">
        <v>98</v>
      </c>
      <c r="G616" s="101"/>
      <c r="H616" s="101"/>
      <c r="I616" s="102"/>
    </row>
    <row r="617">
      <c r="B617" s="109"/>
      <c r="F617" s="76" t="s">
        <v>100</v>
      </c>
      <c r="H617" s="110"/>
      <c r="I617" s="97"/>
    </row>
    <row r="618">
      <c r="B618" s="109"/>
      <c r="F618" s="76"/>
      <c r="H618" s="110"/>
      <c r="I618" s="97"/>
    </row>
    <row r="619">
      <c r="B619" s="109">
        <v>1</v>
      </c>
      <c r="F619" s="76" t="s">
        <v>103</v>
      </c>
      <c r="G619" s="76"/>
      <c r="H619" s="111">
        <v>0</v>
      </c>
      <c r="I619" s="97"/>
    </row>
    <row r="620">
      <c r="B620" s="109">
        <v>2</v>
      </c>
      <c r="F620" s="76" t="s">
        <v>103</v>
      </c>
      <c r="G620" s="76"/>
      <c r="H620" s="111">
        <v>0</v>
      </c>
      <c r="I620" s="97"/>
    </row>
    <row r="621">
      <c r="B621" s="109">
        <v>3</v>
      </c>
      <c r="F621" s="76" t="s">
        <v>103</v>
      </c>
      <c r="G621" s="76"/>
      <c r="H621" s="111">
        <v>0</v>
      </c>
      <c r="I621" s="97"/>
    </row>
    <row r="622">
      <c r="B622" s="109">
        <v>4</v>
      </c>
      <c r="F622" s="76" t="s">
        <v>103</v>
      </c>
      <c r="G622" s="76"/>
      <c r="H622" s="111">
        <v>0</v>
      </c>
      <c r="I622" s="97"/>
    </row>
    <row r="623">
      <c r="B623" s="109">
        <v>5</v>
      </c>
      <c r="F623" s="76" t="s">
        <v>103</v>
      </c>
      <c r="G623" s="76"/>
      <c r="H623" s="111">
        <v>0</v>
      </c>
      <c r="I623" s="97"/>
      <c r="N623" s="77"/>
      <c r="O623" s="77"/>
    </row>
    <row r="624" ht="16.5">
      <c r="B624" s="109">
        <v>6</v>
      </c>
      <c r="F624" s="76" t="s">
        <v>103</v>
      </c>
      <c r="G624" s="76"/>
      <c r="H624" s="112">
        <v>0</v>
      </c>
      <c r="I624" s="97"/>
      <c r="N624" s="77"/>
      <c r="O624" s="77"/>
    </row>
    <row r="625">
      <c r="B625" s="109"/>
      <c r="C625" s="113" t="s">
        <v>106</v>
      </c>
      <c r="F625" s="76"/>
      <c r="G625" s="76"/>
      <c r="H625" s="111">
        <f>SUM(H619:H624)</f>
        <v>0</v>
      </c>
      <c r="I625" s="97">
        <f>I606-H625</f>
        <v>47513679</v>
      </c>
      <c r="N625" s="77"/>
      <c r="O625" s="77"/>
    </row>
    <row r="626">
      <c r="B626" s="109">
        <v>1</v>
      </c>
      <c r="F626" s="76" t="s">
        <v>31</v>
      </c>
      <c r="G626" s="76"/>
      <c r="H626" s="111">
        <v>0</v>
      </c>
      <c r="I626" s="97"/>
      <c r="N626" s="77"/>
      <c r="O626" s="77"/>
    </row>
    <row r="627">
      <c r="B627" s="109">
        <v>2</v>
      </c>
      <c r="F627" s="76" t="s">
        <v>31</v>
      </c>
      <c r="G627" s="76"/>
      <c r="H627" s="111">
        <v>0</v>
      </c>
      <c r="I627" s="97"/>
      <c r="N627" s="77"/>
      <c r="O627" s="77"/>
    </row>
    <row r="628">
      <c r="B628" s="109">
        <v>3</v>
      </c>
      <c r="F628" s="76" t="s">
        <v>31</v>
      </c>
      <c r="G628" s="76"/>
      <c r="H628" s="111">
        <v>0</v>
      </c>
      <c r="I628" s="97"/>
      <c r="N628" s="77"/>
      <c r="O628" s="77"/>
    </row>
    <row r="629" ht="16.5">
      <c r="B629" s="109">
        <v>4</v>
      </c>
      <c r="F629" s="76" t="s">
        <v>31</v>
      </c>
      <c r="G629" s="76"/>
      <c r="H629" s="112">
        <v>0</v>
      </c>
      <c r="I629" s="97"/>
      <c r="N629" s="77"/>
      <c r="O629" s="77"/>
    </row>
    <row r="630">
      <c r="B630" s="109"/>
      <c r="C630" s="113" t="s">
        <v>112</v>
      </c>
      <c r="F630" s="76"/>
      <c r="G630" s="76"/>
      <c r="H630" s="111">
        <f>SUM(H626:H629)</f>
        <v>0</v>
      </c>
      <c r="I630" s="97">
        <f>I607-H630</f>
        <v>0</v>
      </c>
      <c r="N630" s="77"/>
      <c r="O630" s="77"/>
    </row>
    <row r="631">
      <c r="B631" s="109">
        <v>1</v>
      </c>
      <c r="F631" s="76" t="s">
        <v>32</v>
      </c>
      <c r="G631" s="76"/>
      <c r="H631" s="111">
        <v>0</v>
      </c>
      <c r="I631" s="97"/>
      <c r="N631" s="77"/>
      <c r="O631" s="77"/>
    </row>
    <row r="632">
      <c r="B632" s="109">
        <v>2</v>
      </c>
      <c r="F632" s="76" t="s">
        <v>32</v>
      </c>
      <c r="G632" s="76"/>
      <c r="H632" s="111">
        <v>0</v>
      </c>
      <c r="I632" s="97"/>
      <c r="N632" s="77"/>
      <c r="O632" s="77"/>
    </row>
    <row r="633">
      <c r="B633" s="109">
        <v>3</v>
      </c>
      <c r="F633" s="76" t="s">
        <v>32</v>
      </c>
      <c r="G633" s="76"/>
      <c r="H633" s="111">
        <v>0</v>
      </c>
      <c r="I633" s="97"/>
      <c r="N633" s="77"/>
      <c r="O633" s="77"/>
    </row>
    <row r="634" ht="16.5">
      <c r="B634" s="109">
        <v>4</v>
      </c>
      <c r="F634" s="76" t="s">
        <v>32</v>
      </c>
      <c r="G634" s="76"/>
      <c r="H634" s="112">
        <v>0</v>
      </c>
      <c r="I634" s="97"/>
      <c r="N634" s="77"/>
      <c r="O634" s="77"/>
    </row>
    <row r="635">
      <c r="B635" s="109"/>
      <c r="C635" s="113" t="s">
        <v>116</v>
      </c>
      <c r="F635" s="76"/>
      <c r="G635" s="76"/>
      <c r="H635" s="111">
        <f>SUM(H631:H634)</f>
        <v>0</v>
      </c>
      <c r="I635" s="97">
        <f>I608-H635</f>
        <v>15272000</v>
      </c>
      <c r="N635" s="77"/>
      <c r="O635" s="77"/>
    </row>
    <row r="636">
      <c r="B636" s="109">
        <v>1</v>
      </c>
      <c r="F636" s="76" t="s">
        <v>33</v>
      </c>
      <c r="G636" s="76"/>
      <c r="H636" s="111">
        <v>0</v>
      </c>
      <c r="I636" s="97"/>
      <c r="N636" s="77"/>
      <c r="O636" s="77"/>
    </row>
    <row r="637">
      <c r="B637" s="109">
        <v>2</v>
      </c>
      <c r="F637" s="76" t="s">
        <v>33</v>
      </c>
      <c r="G637" s="76"/>
      <c r="H637" s="111">
        <v>0</v>
      </c>
      <c r="I637" s="97"/>
      <c r="N637" s="77"/>
      <c r="O637" s="77"/>
    </row>
    <row r="638">
      <c r="B638" s="109">
        <v>3</v>
      </c>
      <c r="F638" s="76" t="s">
        <v>33</v>
      </c>
      <c r="G638" s="76"/>
      <c r="H638" s="111">
        <v>0</v>
      </c>
      <c r="I638" s="97"/>
      <c r="N638" s="77"/>
      <c r="O638" s="77"/>
    </row>
    <row r="639" ht="16.5">
      <c r="B639" s="109">
        <v>4</v>
      </c>
      <c r="F639" s="76" t="s">
        <v>33</v>
      </c>
      <c r="G639" s="76"/>
      <c r="H639" s="112">
        <v>0</v>
      </c>
      <c r="I639" s="97"/>
      <c r="N639" s="77"/>
      <c r="O639" s="77"/>
    </row>
    <row r="640">
      <c r="B640" s="109"/>
      <c r="C640" s="113" t="s">
        <v>117</v>
      </c>
      <c r="F640" s="76"/>
      <c r="G640" s="76"/>
      <c r="H640" s="111">
        <f>SUM(H636:H639)</f>
        <v>0</v>
      </c>
      <c r="I640" s="97">
        <f>I609-H640</f>
        <v>0</v>
      </c>
      <c r="N640" s="77"/>
      <c r="O640" s="77"/>
    </row>
    <row r="641">
      <c r="B641" s="109">
        <v>1</v>
      </c>
      <c r="F641" s="76" t="s">
        <v>118</v>
      </c>
      <c r="G641" s="76"/>
      <c r="H641" s="111">
        <v>0</v>
      </c>
      <c r="I641" s="97"/>
      <c r="N641" s="77"/>
      <c r="O641" s="77"/>
    </row>
    <row r="642">
      <c r="B642" s="109">
        <v>2</v>
      </c>
      <c r="F642" s="76" t="s">
        <v>118</v>
      </c>
      <c r="G642" s="76"/>
      <c r="H642" s="111">
        <v>0</v>
      </c>
      <c r="I642" s="97"/>
      <c r="N642" s="77"/>
      <c r="O642" s="77"/>
    </row>
    <row r="643">
      <c r="B643" s="109">
        <v>3</v>
      </c>
      <c r="F643" s="76" t="s">
        <v>118</v>
      </c>
      <c r="G643" s="76"/>
      <c r="H643" s="111">
        <v>0</v>
      </c>
      <c r="I643" s="97"/>
      <c r="N643" s="77"/>
      <c r="O643" s="77"/>
    </row>
    <row r="644" ht="16.5">
      <c r="B644" s="109">
        <v>4</v>
      </c>
      <c r="F644" s="76" t="s">
        <v>118</v>
      </c>
      <c r="G644" s="76"/>
      <c r="H644" s="112">
        <v>0</v>
      </c>
      <c r="I644" s="97"/>
      <c r="N644" s="77"/>
      <c r="O644" s="77"/>
    </row>
    <row r="645">
      <c r="B645" s="109"/>
      <c r="C645" s="113" t="s">
        <v>121</v>
      </c>
      <c r="F645" s="76"/>
      <c r="G645" s="76"/>
      <c r="H645" s="111">
        <f>SUM(H641:H644)</f>
        <v>0</v>
      </c>
      <c r="I645" s="97">
        <f>I610-H645</f>
        <v>0</v>
      </c>
      <c r="N645" s="77"/>
      <c r="O645" s="77"/>
    </row>
    <row r="646">
      <c r="B646" s="96"/>
      <c r="I646" s="97"/>
    </row>
    <row r="647" ht="15">
      <c r="B647" s="96"/>
      <c r="C647" s="76" t="s">
        <v>122</v>
      </c>
      <c r="H647" s="114">
        <f>H625+H630+H635+H640+H645</f>
        <v>0</v>
      </c>
      <c r="I647" s="115"/>
    </row>
    <row r="648">
      <c r="B648" s="96"/>
      <c r="I648" s="97"/>
    </row>
    <row r="649" ht="15">
      <c r="B649" s="96"/>
      <c r="C649" s="76" t="s">
        <v>123</v>
      </c>
      <c r="H649" s="76"/>
      <c r="I649" s="116">
        <f>I612-H647</f>
        <v>62785679</v>
      </c>
    </row>
    <row r="650">
      <c r="B650" s="117"/>
      <c r="C650" s="118"/>
      <c r="D650" s="118"/>
      <c r="E650" s="118"/>
      <c r="F650" s="119"/>
      <c r="G650" s="119"/>
      <c r="H650" s="119"/>
      <c r="I650" s="120"/>
    </row>
    <row r="654" ht="28.899999999999999" customHeight="1">
      <c r="B654" s="88" t="str">
        <f>B16</f>
        <v xml:space="preserve">CIBINONG KOTA</v>
      </c>
      <c r="C654" s="89"/>
      <c r="D654" s="89"/>
      <c r="E654" s="89"/>
      <c r="F654" s="89"/>
      <c r="G654" s="89"/>
      <c r="H654" s="89"/>
      <c r="I654" s="89"/>
    </row>
    <row r="655" ht="21.75">
      <c r="B655" s="90" t="s">
        <v>69</v>
      </c>
      <c r="C655" s="90"/>
      <c r="D655" s="90"/>
      <c r="E655" s="90"/>
      <c r="F655" s="90"/>
      <c r="G655" s="90"/>
      <c r="H655" s="90"/>
      <c r="I655" s="91"/>
    </row>
    <row r="656" ht="21.75">
      <c r="B656" s="86" t="s">
        <v>134</v>
      </c>
      <c r="C656" s="86"/>
      <c r="D656" s="86"/>
      <c r="E656" s="86"/>
      <c r="F656" s="86"/>
      <c r="G656" s="86"/>
      <c r="H656" s="86"/>
      <c r="I656" s="92"/>
    </row>
    <row r="658" ht="21.75">
      <c r="B658" s="93"/>
      <c r="C658" s="94" t="s">
        <v>71</v>
      </c>
      <c r="D658" s="94"/>
      <c r="E658" s="94"/>
      <c r="F658" s="94"/>
      <c r="G658" s="94"/>
      <c r="H658" s="94"/>
      <c r="I658" s="95"/>
    </row>
    <row r="659">
      <c r="B659" s="96"/>
      <c r="I659" s="97"/>
    </row>
    <row r="660" ht="21.75">
      <c r="B660" s="98"/>
      <c r="C660" s="99" t="s">
        <v>74</v>
      </c>
      <c r="D660" s="100"/>
      <c r="E660" s="100"/>
      <c r="F660" s="101" t="s">
        <v>75</v>
      </c>
      <c r="G660" s="101"/>
      <c r="H660" s="101" t="s">
        <v>76</v>
      </c>
      <c r="I660" s="102" t="s">
        <v>28</v>
      </c>
    </row>
    <row r="661">
      <c r="B661" s="96"/>
      <c r="I661" s="97"/>
    </row>
    <row r="662">
      <c r="B662" s="96"/>
      <c r="C662" s="76" t="s">
        <v>79</v>
      </c>
      <c r="H662" s="77">
        <f>'Rec.Data System-IN'!R27</f>
        <v>4574300</v>
      </c>
      <c r="I662" s="97">
        <f t="shared" ref="I662:I668" si="14">F662+H662</f>
        <v>4574300</v>
      </c>
    </row>
    <row r="663">
      <c r="B663" s="96"/>
      <c r="C663" s="76" t="s">
        <v>81</v>
      </c>
      <c r="H663" s="103">
        <f>'Rec.Data System-IN'!S27</f>
        <v>2939800</v>
      </c>
      <c r="I663" s="97">
        <f t="shared" si="14"/>
        <v>2939800</v>
      </c>
    </row>
    <row r="664" ht="25.5" customHeight="1">
      <c r="B664" s="96"/>
      <c r="C664" s="65" t="s">
        <v>83</v>
      </c>
      <c r="F664" s="77">
        <f>I625</f>
        <v>47513679</v>
      </c>
      <c r="H664" s="77">
        <f>SUM(H662:H663)</f>
        <v>7514100</v>
      </c>
      <c r="I664" s="97">
        <f t="shared" si="14"/>
        <v>55027779</v>
      </c>
    </row>
    <row r="665">
      <c r="B665" s="96"/>
      <c r="C665" s="76" t="s">
        <v>31</v>
      </c>
      <c r="F665" s="77">
        <f>I630</f>
        <v>0</v>
      </c>
      <c r="H665" s="77">
        <f>'Rec.Data System-IN'!T27</f>
        <v>0</v>
      </c>
      <c r="I665" s="97">
        <f t="shared" si="14"/>
        <v>0</v>
      </c>
    </row>
    <row r="666">
      <c r="B666" s="96"/>
      <c r="C666" s="76" t="s">
        <v>32</v>
      </c>
      <c r="F666" s="77">
        <f>I635</f>
        <v>15272000</v>
      </c>
      <c r="H666" s="77">
        <f>'Rec.Data System-IN'!U27</f>
        <v>1005000</v>
      </c>
      <c r="I666" s="97">
        <f t="shared" si="14"/>
        <v>16277000</v>
      </c>
    </row>
    <row r="667">
      <c r="B667" s="96"/>
      <c r="C667" s="76" t="s">
        <v>33</v>
      </c>
      <c r="F667" s="77">
        <f>I640</f>
        <v>0</v>
      </c>
      <c r="H667" s="77">
        <f>'Rec.Data System-IN'!V27</f>
        <v>0</v>
      </c>
      <c r="I667" s="97">
        <f t="shared" si="14"/>
        <v>0</v>
      </c>
    </row>
    <row r="668">
      <c r="B668" s="96"/>
      <c r="C668" s="76" t="s">
        <v>34</v>
      </c>
      <c r="F668" s="103">
        <f>I645</f>
        <v>0</v>
      </c>
      <c r="H668" s="77">
        <f>'Rec.Data System-IN'!W27</f>
        <v>0</v>
      </c>
      <c r="I668" s="97">
        <f t="shared" si="14"/>
        <v>0</v>
      </c>
    </row>
    <row r="669">
      <c r="B669" s="96"/>
      <c r="I669" s="97"/>
    </row>
    <row r="670" ht="15.75">
      <c r="B670" s="96"/>
      <c r="C670" s="76" t="s">
        <v>90</v>
      </c>
      <c r="I670" s="104">
        <f>SUM(I664:I668)</f>
        <v>71304779</v>
      </c>
    </row>
    <row r="671" ht="15">
      <c r="B671" s="96"/>
      <c r="I671" s="97"/>
    </row>
    <row r="672" ht="21.75">
      <c r="B672" s="105"/>
      <c r="C672" s="106" t="s">
        <v>93</v>
      </c>
      <c r="D672" s="106"/>
      <c r="E672" s="106"/>
      <c r="F672" s="106"/>
      <c r="G672" s="106"/>
      <c r="H672" s="106"/>
      <c r="I672" s="107"/>
    </row>
    <row r="673">
      <c r="B673" s="96"/>
      <c r="F673" s="76"/>
      <c r="H673" s="76"/>
      <c r="I673" s="97"/>
    </row>
    <row r="674" ht="21.75">
      <c r="B674" s="98"/>
      <c r="C674" s="99" t="s">
        <v>96</v>
      </c>
      <c r="D674" s="100"/>
      <c r="E674" s="99" t="s">
        <v>97</v>
      </c>
      <c r="F674" s="108" t="s">
        <v>98</v>
      </c>
      <c r="G674" s="101"/>
      <c r="H674" s="101"/>
      <c r="I674" s="102"/>
    </row>
    <row r="675">
      <c r="B675" s="109"/>
      <c r="F675" s="76" t="s">
        <v>100</v>
      </c>
      <c r="H675" s="110"/>
      <c r="I675" s="97"/>
    </row>
    <row r="676">
      <c r="B676" s="109"/>
      <c r="F676" s="76"/>
      <c r="H676" s="110"/>
      <c r="I676" s="97"/>
    </row>
    <row r="677">
      <c r="B677" s="109">
        <v>1</v>
      </c>
      <c r="F677" s="76" t="s">
        <v>103</v>
      </c>
      <c r="G677" s="76"/>
      <c r="H677" s="111">
        <v>0</v>
      </c>
      <c r="I677" s="97"/>
    </row>
    <row r="678">
      <c r="B678" s="109">
        <v>2</v>
      </c>
      <c r="F678" s="76" t="s">
        <v>103</v>
      </c>
      <c r="G678" s="76"/>
      <c r="H678" s="111">
        <v>0</v>
      </c>
      <c r="I678" s="97"/>
    </row>
    <row r="679">
      <c r="B679" s="109">
        <v>3</v>
      </c>
      <c r="F679" s="76" t="s">
        <v>103</v>
      </c>
      <c r="G679" s="76"/>
      <c r="H679" s="111">
        <v>0</v>
      </c>
      <c r="I679" s="97"/>
    </row>
    <row r="680">
      <c r="B680" s="109">
        <v>4</v>
      </c>
      <c r="F680" s="76" t="s">
        <v>103</v>
      </c>
      <c r="G680" s="76"/>
      <c r="H680" s="111">
        <v>0</v>
      </c>
      <c r="I680" s="97"/>
    </row>
    <row r="681">
      <c r="B681" s="109">
        <v>5</v>
      </c>
      <c r="F681" s="76" t="s">
        <v>103</v>
      </c>
      <c r="G681" s="76"/>
      <c r="H681" s="111">
        <v>0</v>
      </c>
      <c r="I681" s="97"/>
      <c r="N681" s="77"/>
      <c r="O681" s="77"/>
    </row>
    <row r="682" ht="16.5">
      <c r="B682" s="109">
        <v>6</v>
      </c>
      <c r="F682" s="76" t="s">
        <v>103</v>
      </c>
      <c r="G682" s="76"/>
      <c r="H682" s="112">
        <v>0</v>
      </c>
      <c r="I682" s="97"/>
      <c r="N682" s="77"/>
      <c r="O682" s="77"/>
    </row>
    <row r="683">
      <c r="B683" s="109"/>
      <c r="C683" s="113" t="s">
        <v>106</v>
      </c>
      <c r="F683" s="76"/>
      <c r="G683" s="76"/>
      <c r="H683" s="111">
        <f>SUM(H677:H682)</f>
        <v>0</v>
      </c>
      <c r="I683" s="97">
        <f>I664-H683</f>
        <v>55027779</v>
      </c>
      <c r="N683" s="77"/>
      <c r="O683" s="77"/>
    </row>
    <row r="684">
      <c r="B684" s="109">
        <v>1</v>
      </c>
      <c r="F684" s="76" t="s">
        <v>31</v>
      </c>
      <c r="G684" s="76"/>
      <c r="H684" s="111">
        <v>0</v>
      </c>
      <c r="I684" s="97"/>
      <c r="N684" s="77"/>
      <c r="O684" s="77"/>
    </row>
    <row r="685">
      <c r="B685" s="109">
        <v>2</v>
      </c>
      <c r="F685" s="76" t="s">
        <v>31</v>
      </c>
      <c r="G685" s="76"/>
      <c r="H685" s="111">
        <v>0</v>
      </c>
      <c r="I685" s="97"/>
      <c r="N685" s="77"/>
      <c r="O685" s="77"/>
    </row>
    <row r="686">
      <c r="B686" s="109">
        <v>3</v>
      </c>
      <c r="F686" s="76" t="s">
        <v>31</v>
      </c>
      <c r="G686" s="76"/>
      <c r="H686" s="111">
        <v>0</v>
      </c>
      <c r="I686" s="97"/>
      <c r="N686" s="77"/>
      <c r="O686" s="77"/>
    </row>
    <row r="687" ht="16.5">
      <c r="B687" s="109">
        <v>4</v>
      </c>
      <c r="F687" s="76" t="s">
        <v>31</v>
      </c>
      <c r="G687" s="76"/>
      <c r="H687" s="112">
        <v>0</v>
      </c>
      <c r="I687" s="97"/>
      <c r="N687" s="77"/>
      <c r="O687" s="77"/>
    </row>
    <row r="688">
      <c r="B688" s="109"/>
      <c r="C688" s="113" t="s">
        <v>112</v>
      </c>
      <c r="F688" s="76"/>
      <c r="G688" s="76"/>
      <c r="H688" s="111">
        <f>SUM(H684:H687)</f>
        <v>0</v>
      </c>
      <c r="I688" s="97">
        <f>I665-H688</f>
        <v>0</v>
      </c>
      <c r="N688" s="77"/>
      <c r="O688" s="77"/>
    </row>
    <row r="689">
      <c r="B689" s="109">
        <v>1</v>
      </c>
      <c r="F689" s="76" t="s">
        <v>32</v>
      </c>
      <c r="G689" s="76"/>
      <c r="H689" s="111">
        <v>0</v>
      </c>
      <c r="I689" s="97"/>
      <c r="N689" s="77"/>
      <c r="O689" s="77"/>
    </row>
    <row r="690">
      <c r="B690" s="109">
        <v>2</v>
      </c>
      <c r="F690" s="76" t="s">
        <v>32</v>
      </c>
      <c r="G690" s="76"/>
      <c r="H690" s="111">
        <v>0</v>
      </c>
      <c r="I690" s="97"/>
      <c r="N690" s="77"/>
      <c r="O690" s="77"/>
    </row>
    <row r="691">
      <c r="B691" s="109">
        <v>3</v>
      </c>
      <c r="F691" s="76" t="s">
        <v>32</v>
      </c>
      <c r="G691" s="76"/>
      <c r="H691" s="111">
        <v>0</v>
      </c>
      <c r="I691" s="97"/>
      <c r="N691" s="77"/>
      <c r="O691" s="77"/>
    </row>
    <row r="692" ht="16.5">
      <c r="B692" s="109">
        <v>4</v>
      </c>
      <c r="F692" s="76" t="s">
        <v>32</v>
      </c>
      <c r="G692" s="76"/>
      <c r="H692" s="112">
        <v>0</v>
      </c>
      <c r="I692" s="97"/>
      <c r="N692" s="77"/>
      <c r="O692" s="77"/>
    </row>
    <row r="693">
      <c r="B693" s="109"/>
      <c r="C693" s="113" t="s">
        <v>116</v>
      </c>
      <c r="F693" s="76"/>
      <c r="G693" s="76"/>
      <c r="H693" s="111">
        <f>SUM(H689:H692)</f>
        <v>0</v>
      </c>
      <c r="I693" s="97">
        <f>I666-H693</f>
        <v>16277000</v>
      </c>
      <c r="N693" s="77"/>
      <c r="O693" s="77"/>
    </row>
    <row r="694">
      <c r="B694" s="109">
        <v>1</v>
      </c>
      <c r="F694" s="76" t="s">
        <v>33</v>
      </c>
      <c r="G694" s="76"/>
      <c r="H694" s="111">
        <v>0</v>
      </c>
      <c r="I694" s="97"/>
      <c r="N694" s="77"/>
      <c r="O694" s="77"/>
    </row>
    <row r="695">
      <c r="B695" s="109">
        <v>2</v>
      </c>
      <c r="F695" s="76" t="s">
        <v>33</v>
      </c>
      <c r="G695" s="76"/>
      <c r="H695" s="111">
        <v>0</v>
      </c>
      <c r="I695" s="97"/>
      <c r="N695" s="77"/>
      <c r="O695" s="77"/>
    </row>
    <row r="696">
      <c r="B696" s="109">
        <v>3</v>
      </c>
      <c r="F696" s="76" t="s">
        <v>33</v>
      </c>
      <c r="G696" s="76"/>
      <c r="H696" s="111">
        <v>0</v>
      </c>
      <c r="I696" s="97"/>
      <c r="N696" s="77"/>
      <c r="O696" s="77"/>
    </row>
    <row r="697" ht="16.5">
      <c r="B697" s="109">
        <v>4</v>
      </c>
      <c r="F697" s="76" t="s">
        <v>33</v>
      </c>
      <c r="G697" s="76"/>
      <c r="H697" s="112">
        <v>0</v>
      </c>
      <c r="I697" s="97"/>
      <c r="N697" s="77"/>
      <c r="O697" s="77"/>
    </row>
    <row r="698">
      <c r="B698" s="109"/>
      <c r="C698" s="113" t="s">
        <v>117</v>
      </c>
      <c r="F698" s="76"/>
      <c r="G698" s="76"/>
      <c r="H698" s="111">
        <f>SUM(H694:H697)</f>
        <v>0</v>
      </c>
      <c r="I698" s="97">
        <f>I667-H698</f>
        <v>0</v>
      </c>
      <c r="N698" s="77"/>
      <c r="O698" s="77"/>
    </row>
    <row r="699">
      <c r="B699" s="109">
        <v>1</v>
      </c>
      <c r="F699" s="76" t="s">
        <v>118</v>
      </c>
      <c r="G699" s="76"/>
      <c r="H699" s="111">
        <v>0</v>
      </c>
      <c r="I699" s="97"/>
      <c r="N699" s="77"/>
      <c r="O699" s="77"/>
    </row>
    <row r="700">
      <c r="B700" s="109">
        <v>2</v>
      </c>
      <c r="F700" s="76" t="s">
        <v>118</v>
      </c>
      <c r="G700" s="76"/>
      <c r="H700" s="111">
        <v>0</v>
      </c>
      <c r="I700" s="97"/>
      <c r="N700" s="77"/>
      <c r="O700" s="77"/>
    </row>
    <row r="701">
      <c r="B701" s="109">
        <v>3</v>
      </c>
      <c r="F701" s="76" t="s">
        <v>118</v>
      </c>
      <c r="G701" s="76"/>
      <c r="H701" s="111">
        <v>0</v>
      </c>
      <c r="I701" s="97"/>
      <c r="N701" s="77"/>
      <c r="O701" s="77"/>
    </row>
    <row r="702" ht="16.5">
      <c r="B702" s="109">
        <v>4</v>
      </c>
      <c r="F702" s="76" t="s">
        <v>118</v>
      </c>
      <c r="G702" s="76"/>
      <c r="H702" s="112">
        <v>0</v>
      </c>
      <c r="I702" s="97"/>
      <c r="N702" s="77"/>
      <c r="O702" s="77"/>
    </row>
    <row r="703">
      <c r="B703" s="109"/>
      <c r="C703" s="113" t="s">
        <v>121</v>
      </c>
      <c r="F703" s="76"/>
      <c r="G703" s="76"/>
      <c r="H703" s="111">
        <f>SUM(H699:H702)</f>
        <v>0</v>
      </c>
      <c r="I703" s="97">
        <f>I668-H703</f>
        <v>0</v>
      </c>
      <c r="N703" s="77"/>
      <c r="O703" s="77"/>
    </row>
    <row r="704">
      <c r="B704" s="96"/>
      <c r="I704" s="97"/>
    </row>
    <row r="705" ht="15">
      <c r="B705" s="96"/>
      <c r="C705" s="76" t="s">
        <v>122</v>
      </c>
      <c r="H705" s="114">
        <f>H683+H688+H693+H698+H703</f>
        <v>0</v>
      </c>
      <c r="I705" s="115"/>
    </row>
    <row r="706">
      <c r="B706" s="96"/>
      <c r="I706" s="97"/>
    </row>
    <row r="707" ht="15">
      <c r="B707" s="96"/>
      <c r="C707" s="76" t="s">
        <v>123</v>
      </c>
      <c r="H707" s="76"/>
      <c r="I707" s="116">
        <f>I670-H705</f>
        <v>71304779</v>
      </c>
    </row>
    <row r="708">
      <c r="B708" s="117"/>
      <c r="C708" s="118"/>
      <c r="D708" s="118"/>
      <c r="E708" s="118"/>
      <c r="F708" s="119"/>
      <c r="G708" s="119"/>
      <c r="H708" s="119"/>
      <c r="I708" s="120"/>
    </row>
  </sheetData>
  <mergeCells count="50">
    <mergeCell ref="B598:I598"/>
    <mergeCell ref="B654:I654"/>
    <mergeCell ref="B655:I655"/>
    <mergeCell ref="B656:I656"/>
    <mergeCell ref="B538:I538"/>
    <mergeCell ref="B539:I539"/>
    <mergeCell ref="B540:I540"/>
    <mergeCell ref="B596:I596"/>
    <mergeCell ref="B597:I597"/>
    <mergeCell ref="B76:I76"/>
    <mergeCell ref="B132:I132"/>
    <mergeCell ref="B133:I133"/>
    <mergeCell ref="B134:I134"/>
    <mergeCell ref="B190:I190"/>
    <mergeCell ref="B364:I364"/>
    <mergeCell ref="B365:I365"/>
    <mergeCell ref="B366:I366"/>
    <mergeCell ref="B248:I248"/>
    <mergeCell ref="B249:I249"/>
    <mergeCell ref="B250:I250"/>
    <mergeCell ref="B306:I306"/>
    <mergeCell ref="B307:I307"/>
    <mergeCell ref="B2:I2"/>
    <mergeCell ref="B11:C12"/>
    <mergeCell ref="B480:I480"/>
    <mergeCell ref="B481:I481"/>
    <mergeCell ref="B482:I482"/>
    <mergeCell ref="B16:I16"/>
    <mergeCell ref="B17:I17"/>
    <mergeCell ref="B18:I18"/>
    <mergeCell ref="B191:I191"/>
    <mergeCell ref="B192:I192"/>
    <mergeCell ref="B308:I308"/>
    <mergeCell ref="B422:I422"/>
    <mergeCell ref="B423:I423"/>
    <mergeCell ref="B424:I424"/>
    <mergeCell ref="B74:I74"/>
    <mergeCell ref="B75:I75"/>
    <mergeCell ref="H4:I4"/>
    <mergeCell ref="H5:I9"/>
    <mergeCell ref="H11:I11"/>
    <mergeCell ref="H12:I12"/>
    <mergeCell ref="B4:G4"/>
    <mergeCell ref="E5:F5"/>
    <mergeCell ref="E6:F6"/>
    <mergeCell ref="E7:F7"/>
    <mergeCell ref="E8:F8"/>
    <mergeCell ref="E9:F9"/>
    <mergeCell ref="E11:F11"/>
    <mergeCell ref="E12:F12"/>
  </mergeCells>
  <printOptions headings="0" gridLines="0"/>
  <pageMargins left="0.11811023622047245" right="0.11811023622047245" top="0.35433070866141736" bottom="0.55118110236220474" header="0.31496062992125984" footer="0.31496062992125984"/>
  <pageSetup paperSize="9" scale="70" fitToWidth="1" fitToHeight="1" pageOrder="downThenOver" orientation="portrait" usePrinterDefaults="1" blackAndWhite="0" draft="0" cellComments="none" useFirstPageNumber="0" errors="displayed" horizontalDpi="360" verticalDpi="36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OrEqual" id="{286822AB-D5E7-4AE6-8C4C-04418B28FB4A}">
            <xm:f>0</xm:f>
            <x14:dxf>
              <font>
                <b/>
                <color rgb="FF990000"/>
              </font>
              <fill>
                <patternFill patternType="none"/>
              </fill>
            </x14:dxf>
          </x14:cfRule>
          <xm:sqref>H5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C1" zoomScale="99" workbookViewId="0">
      <selection activeCell="F32" activeCellId="0" sqref="F32"/>
    </sheetView>
  </sheetViews>
  <sheetFormatPr defaultColWidth="9.140625" defaultRowHeight="14.25"/>
  <cols>
    <col customWidth="1" min="1" max="1" style="76" width="4.5703125"/>
    <col customWidth="1" min="2" max="2" style="76" width="12.42578125"/>
    <col customWidth="1" min="3" max="3" style="76" width="15.5703125"/>
    <col customWidth="1" min="4" max="4" style="121" width="4.42578125"/>
    <col customWidth="1" min="5" max="5" style="76" width="16"/>
    <col customWidth="1" min="6" max="6" style="76" width="14.7109375"/>
    <col customWidth="1" min="7" max="8" style="76" width="17.7109375"/>
    <col customWidth="1" min="9" max="9" style="76" width="16.140625"/>
    <col customWidth="1" min="10" max="10" style="76" width="17.140625"/>
    <col customWidth="1" min="11" max="12" style="76" width="17.28515625"/>
    <col customWidth="1" min="13" max="13" style="76" width="16.85546875"/>
    <col customWidth="1" min="14" max="14" style="76" width="16.5703125"/>
    <col customWidth="1" min="15" max="15" style="76" width="14.140625"/>
    <col bestFit="1" customWidth="1" min="16" max="17" style="76" width="6.42578125"/>
    <col min="18" max="16384" style="76" width="9.140625"/>
  </cols>
  <sheetData>
    <row r="2" s="1" customFormat="1" ht="19.149999999999999" customHeight="1">
      <c r="B2" s="122" t="s">
        <v>135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="1" customFormat="1" ht="17.449999999999999" customHeight="1">
      <c r="B3" s="123" t="s">
        <v>136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</row>
    <row r="4" s="1" customFormat="1" ht="18" customHeight="1">
      <c r="B4" s="6" t="s">
        <v>137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1.449999999999999" customHeight="1"/>
    <row r="6" ht="30">
      <c r="B6" s="28" t="s">
        <v>138</v>
      </c>
      <c r="C6" s="124" t="s">
        <v>11</v>
      </c>
      <c r="D6" s="125"/>
      <c r="E6" s="126"/>
      <c r="F6" s="126" t="s">
        <v>12</v>
      </c>
      <c r="G6" s="28" t="s">
        <v>139</v>
      </c>
      <c r="H6" s="28" t="s">
        <v>140</v>
      </c>
      <c r="I6" s="28" t="s">
        <v>141</v>
      </c>
      <c r="J6" s="28" t="s">
        <v>142</v>
      </c>
      <c r="K6" s="28" t="s">
        <v>143</v>
      </c>
      <c r="L6" s="28" t="s">
        <v>31</v>
      </c>
      <c r="M6" s="28" t="s">
        <v>32</v>
      </c>
      <c r="N6" s="28" t="s">
        <v>33</v>
      </c>
      <c r="O6" s="28" t="s">
        <v>34</v>
      </c>
      <c r="P6" s="28" t="s">
        <v>21</v>
      </c>
      <c r="Q6" s="28" t="s">
        <v>23</v>
      </c>
    </row>
    <row r="7">
      <c r="B7" s="127" t="s">
        <v>35</v>
      </c>
      <c r="C7" s="128">
        <f>'Rec.Data System-IN'!D16</f>
        <v>180102</v>
      </c>
      <c r="D7" s="129" t="s">
        <v>144</v>
      </c>
      <c r="E7" s="130">
        <f>'Rec.Data System-IN'!E16</f>
        <v>180118</v>
      </c>
      <c r="F7" s="131">
        <f>'Rec.Data System-IN'!F16</f>
        <v>1514</v>
      </c>
      <c r="G7" s="132">
        <f>'Rec.Data System-IN'!I16</f>
        <v>14692750</v>
      </c>
      <c r="H7" s="132">
        <f>'Rec.Data System-IN'!K16</f>
        <v>3915688</v>
      </c>
      <c r="I7" s="132">
        <f>'Rec.Data System-IN'!M16</f>
        <v>25000</v>
      </c>
      <c r="J7" s="132">
        <f>'Rec.Data System-IN'!R16</f>
        <v>3030688</v>
      </c>
      <c r="K7" s="132">
        <f>'Rec.Data System-IN'!S16</f>
        <v>4950375</v>
      </c>
      <c r="L7" s="132">
        <f>'Rec.Data System-IN'!T16</f>
        <v>0</v>
      </c>
      <c r="M7" s="132">
        <f>'Rec.Data System-IN'!U16</f>
        <v>1106000</v>
      </c>
      <c r="N7" s="132">
        <f>'Rec.Data System-IN'!V16</f>
        <v>0</v>
      </c>
      <c r="O7" s="133">
        <f>'Rec.Data System-IN'!W16</f>
        <v>0</v>
      </c>
      <c r="P7" s="130">
        <f>'Rec.Data System-IN'!J16</f>
        <v>17</v>
      </c>
      <c r="Q7" s="134">
        <f>'Rec.Data System-IN'!L16</f>
        <v>8</v>
      </c>
    </row>
    <row r="8">
      <c r="B8" s="135" t="s">
        <v>36</v>
      </c>
      <c r="C8" s="136">
        <f>'Rec.Data System-IN'!D17</f>
        <v>180119</v>
      </c>
      <c r="D8" s="137" t="s">
        <v>144</v>
      </c>
      <c r="E8" s="138">
        <f>'Rec.Data System-IN'!E17</f>
        <v>180137</v>
      </c>
      <c r="F8" s="41">
        <f>'Rec.Data System-IN'!F17</f>
        <v>1890</v>
      </c>
      <c r="G8" s="139">
        <f>'Rec.Data System-IN'!I17</f>
        <v>17061750</v>
      </c>
      <c r="H8" s="139">
        <f>'Rec.Data System-IN'!K17</f>
        <v>5787688</v>
      </c>
      <c r="I8" s="139">
        <f>'Rec.Data System-IN'!M17</f>
        <v>75000</v>
      </c>
      <c r="J8" s="139">
        <f>'Rec.Data System-IN'!R17</f>
        <v>4793188</v>
      </c>
      <c r="K8" s="139">
        <f>'Rec.Data System-IN'!S17</f>
        <v>2161875</v>
      </c>
      <c r="L8" s="139">
        <f>'Rec.Data System-IN'!T17</f>
        <v>0</v>
      </c>
      <c r="M8" s="139">
        <f>'Rec.Data System-IN'!U17</f>
        <v>254000</v>
      </c>
      <c r="N8" s="139">
        <f>'Rec.Data System-IN'!V17</f>
        <v>0</v>
      </c>
      <c r="O8" s="139">
        <f>'Rec.Data System-IN'!W17</f>
        <v>0</v>
      </c>
      <c r="P8" s="138">
        <f>'Rec.Data System-IN'!J17</f>
        <v>19</v>
      </c>
      <c r="Q8" s="140">
        <f>'Rec.Data System-IN'!L17</f>
        <v>12</v>
      </c>
    </row>
    <row r="9">
      <c r="B9" s="135" t="s">
        <v>37</v>
      </c>
      <c r="C9" s="136">
        <f>'Rec.Data System-IN'!D18</f>
        <v>234501</v>
      </c>
      <c r="D9" s="137" t="s">
        <v>144</v>
      </c>
      <c r="E9" s="138">
        <f>'Rec.Data System-IN'!E18</f>
        <v>234518</v>
      </c>
      <c r="F9" s="41" t="str">
        <f>'Rec.Data System-IN'!F18</f>
        <v>2239-1</v>
      </c>
      <c r="G9" s="139">
        <f>'Rec.Data System-IN'!I18</f>
        <v>13717750</v>
      </c>
      <c r="H9" s="139">
        <f>'Rec.Data System-IN'!K18</f>
        <v>3622688</v>
      </c>
      <c r="I9" s="139">
        <f>'Rec.Data System-IN'!M18</f>
        <v>25000</v>
      </c>
      <c r="J9" s="139">
        <f>'Rec.Data System-IN'!R18</f>
        <v>2380688</v>
      </c>
      <c r="K9" s="139">
        <f>'Rec.Data System-IN'!S18</f>
        <v>4390375</v>
      </c>
      <c r="L9" s="139">
        <f>'Rec.Data System-IN'!T18</f>
        <v>0</v>
      </c>
      <c r="M9" s="139">
        <f>'Rec.Data System-IN'!U18</f>
        <v>1318000</v>
      </c>
      <c r="N9" s="139">
        <f>'Rec.Data System-IN'!V18</f>
        <v>0</v>
      </c>
      <c r="O9" s="139">
        <f>'Rec.Data System-IN'!W18</f>
        <v>0</v>
      </c>
      <c r="P9" s="138">
        <f>'Rec.Data System-IN'!J18</f>
        <v>18</v>
      </c>
      <c r="Q9" s="140">
        <f>'Rec.Data System-IN'!L18</f>
        <v>9</v>
      </c>
    </row>
    <row r="10">
      <c r="B10" s="135" t="s">
        <v>39</v>
      </c>
      <c r="C10" s="136">
        <f>'Rec.Data System-IN'!D19</f>
        <v>234519</v>
      </c>
      <c r="D10" s="137" t="s">
        <v>144</v>
      </c>
      <c r="E10" s="138">
        <f>'Rec.Data System-IN'!E19</f>
        <v>234540</v>
      </c>
      <c r="F10" s="41">
        <f>'Rec.Data System-IN'!F19</f>
        <v>3597</v>
      </c>
      <c r="G10" s="139">
        <f>'Rec.Data System-IN'!I19</f>
        <v>22421750</v>
      </c>
      <c r="H10" s="139">
        <f>'Rec.Data System-IN'!K19</f>
        <v>5583688</v>
      </c>
      <c r="I10" s="139">
        <f>'Rec.Data System-IN'!M19</f>
        <v>25000</v>
      </c>
      <c r="J10" s="139">
        <f>'Rec.Data System-IN'!R19</f>
        <v>5608688</v>
      </c>
      <c r="K10" s="139">
        <f>'Rec.Data System-IN'!S19</f>
        <v>4326375</v>
      </c>
      <c r="L10" s="139">
        <f>'Rec.Data System-IN'!T19</f>
        <v>0</v>
      </c>
      <c r="M10" s="139">
        <f>'Rec.Data System-IN'!U19</f>
        <v>972000</v>
      </c>
      <c r="N10" s="139">
        <f>'Rec.Data System-IN'!V19</f>
        <v>0</v>
      </c>
      <c r="O10" s="139">
        <f>'Rec.Data System-IN'!W19</f>
        <v>0</v>
      </c>
      <c r="P10" s="138">
        <f>'Rec.Data System-IN'!J19</f>
        <v>22</v>
      </c>
      <c r="Q10" s="140">
        <f>'Rec.Data System-IN'!L19</f>
        <v>10</v>
      </c>
    </row>
    <row r="11">
      <c r="B11" s="135" t="s">
        <v>40</v>
      </c>
      <c r="C11" s="136">
        <f>'Rec.Data System-IN'!D20</f>
        <v>244541</v>
      </c>
      <c r="D11" s="137" t="s">
        <v>144</v>
      </c>
      <c r="E11" s="138">
        <f>'Rec.Data System-IN'!E20</f>
        <v>244561</v>
      </c>
      <c r="F11" s="41">
        <f>'Rec.Data System-IN'!F20</f>
        <v>3598</v>
      </c>
      <c r="G11" s="139">
        <f>'Rec.Data System-IN'!I20</f>
        <v>16064750</v>
      </c>
      <c r="H11" s="139">
        <f>'Rec.Data System-IN'!K20</f>
        <v>3044688</v>
      </c>
      <c r="I11" s="139">
        <f>'Rec.Data System-IN'!M20</f>
        <v>25000</v>
      </c>
      <c r="J11" s="139">
        <f>'Rec.Data System-IN'!R20</f>
        <v>3069688</v>
      </c>
      <c r="K11" s="139">
        <f>'Rec.Data System-IN'!S20</f>
        <v>1427375</v>
      </c>
      <c r="L11" s="139">
        <f>'Rec.Data System-IN'!T20</f>
        <v>0</v>
      </c>
      <c r="M11" s="139">
        <f>'Rec.Data System-IN'!U20</f>
        <v>322000</v>
      </c>
      <c r="N11" s="139">
        <f>'Rec.Data System-IN'!V20</f>
        <v>0</v>
      </c>
      <c r="O11" s="139">
        <f>'Rec.Data System-IN'!W20</f>
        <v>0</v>
      </c>
      <c r="P11" s="138">
        <f>'Rec.Data System-IN'!J20</f>
        <v>21</v>
      </c>
      <c r="Q11" s="140">
        <f>'Rec.Data System-IN'!L20</f>
        <v>7</v>
      </c>
    </row>
    <row r="12">
      <c r="B12" s="135" t="s">
        <v>41</v>
      </c>
      <c r="C12" s="136">
        <f>'Rec.Data System-IN'!D21</f>
        <v>0</v>
      </c>
      <c r="D12" s="137" t="s">
        <v>144</v>
      </c>
      <c r="E12" s="138">
        <f>'Rec.Data System-IN'!E21</f>
        <v>0</v>
      </c>
      <c r="F12" s="41">
        <f>'Rec.Data System-IN'!F21</f>
        <v>0</v>
      </c>
      <c r="G12" s="139">
        <f>'Rec.Data System-IN'!I21</f>
        <v>18500386</v>
      </c>
      <c r="H12" s="139">
        <f>'Rec.Data System-IN'!K21</f>
        <v>0</v>
      </c>
      <c r="I12" s="139">
        <f>'Rec.Data System-IN'!M21</f>
        <v>0</v>
      </c>
      <c r="J12" s="139">
        <f>'Rec.Data System-IN'!R21</f>
        <v>0</v>
      </c>
      <c r="K12" s="139">
        <f>'Rec.Data System-IN'!S21</f>
        <v>0</v>
      </c>
      <c r="L12" s="139">
        <f>'Rec.Data System-IN'!T21</f>
        <v>0</v>
      </c>
      <c r="M12" s="139">
        <f>'Rec.Data System-IN'!U21</f>
        <v>0</v>
      </c>
      <c r="N12" s="139">
        <f>'Rec.Data System-IN'!V21</f>
        <v>0</v>
      </c>
      <c r="O12" s="139">
        <f>'Rec.Data System-IN'!W21</f>
        <v>0</v>
      </c>
      <c r="P12" s="138">
        <f>'Rec.Data System-IN'!J21</f>
        <v>19</v>
      </c>
      <c r="Q12" s="140">
        <f>'Rec.Data System-IN'!L21</f>
        <v>0</v>
      </c>
    </row>
    <row r="13">
      <c r="B13" s="135" t="s">
        <v>42</v>
      </c>
      <c r="C13" s="136">
        <f>'Rec.Data System-IN'!D22</f>
        <v>0</v>
      </c>
      <c r="D13" s="137" t="s">
        <v>144</v>
      </c>
      <c r="E13" s="138">
        <f>'Rec.Data System-IN'!E22</f>
        <v>0</v>
      </c>
      <c r="F13" s="41">
        <f>'Rec.Data System-IN'!F22</f>
        <v>0</v>
      </c>
      <c r="G13" s="139">
        <f>'Rec.Data System-IN'!I22</f>
        <v>20857126</v>
      </c>
      <c r="H13" s="139">
        <f>'Rec.Data System-IN'!K22</f>
        <v>0</v>
      </c>
      <c r="I13" s="139">
        <f>'Rec.Data System-IN'!M22</f>
        <v>0</v>
      </c>
      <c r="J13" s="139">
        <f>'Rec.Data System-IN'!R22</f>
        <v>0</v>
      </c>
      <c r="K13" s="139">
        <f>'Rec.Data System-IN'!S22</f>
        <v>0</v>
      </c>
      <c r="L13" s="139">
        <f>'Rec.Data System-IN'!T22</f>
        <v>0</v>
      </c>
      <c r="M13" s="139">
        <f>'Rec.Data System-IN'!U22</f>
        <v>0</v>
      </c>
      <c r="N13" s="139">
        <f>'Rec.Data System-IN'!V22</f>
        <v>0</v>
      </c>
      <c r="O13" s="139">
        <f>'Rec.Data System-IN'!W22</f>
        <v>0</v>
      </c>
      <c r="P13" s="138">
        <f>'Rec.Data System-IN'!J22</f>
        <v>18</v>
      </c>
      <c r="Q13" s="140">
        <f>'Rec.Data System-IN'!L22</f>
        <v>0</v>
      </c>
    </row>
    <row r="14">
      <c r="B14" s="135" t="s">
        <v>43</v>
      </c>
      <c r="C14" s="136">
        <f>'Rec.Data System-IN'!D23</f>
        <v>0</v>
      </c>
      <c r="D14" s="137" t="s">
        <v>144</v>
      </c>
      <c r="E14" s="138">
        <f>'Rec.Data System-IN'!E23</f>
        <v>0</v>
      </c>
      <c r="F14" s="41">
        <f>'Rec.Data System-IN'!F23</f>
        <v>0</v>
      </c>
      <c r="G14" s="139">
        <f>'Rec.Data System-IN'!I23</f>
        <v>28834538</v>
      </c>
      <c r="H14" s="139">
        <f>'Rec.Data System-IN'!K23</f>
        <v>0</v>
      </c>
      <c r="I14" s="139">
        <f>'Rec.Data System-IN'!M23</f>
        <v>0</v>
      </c>
      <c r="J14" s="139">
        <f>'Rec.Data System-IN'!R23</f>
        <v>0</v>
      </c>
      <c r="K14" s="139">
        <f>'Rec.Data System-IN'!S23</f>
        <v>0</v>
      </c>
      <c r="L14" s="139">
        <f>'Rec.Data System-IN'!T23</f>
        <v>0</v>
      </c>
      <c r="M14" s="139">
        <f>'Rec.Data System-IN'!U23</f>
        <v>0</v>
      </c>
      <c r="N14" s="139">
        <f>'Rec.Data System-IN'!V23</f>
        <v>0</v>
      </c>
      <c r="O14" s="139">
        <f>'Rec.Data System-IN'!W23</f>
        <v>0</v>
      </c>
      <c r="P14" s="138">
        <f>'Rec.Data System-IN'!J23</f>
        <v>20</v>
      </c>
      <c r="Q14" s="140">
        <f>'Rec.Data System-IN'!L23</f>
        <v>0</v>
      </c>
    </row>
    <row r="15">
      <c r="B15" s="135" t="s">
        <v>44</v>
      </c>
      <c r="C15" s="136">
        <f>'Rec.Data System-IN'!D24</f>
        <v>0</v>
      </c>
      <c r="D15" s="137" t="s">
        <v>144</v>
      </c>
      <c r="E15" s="138">
        <f>'Rec.Data System-IN'!E24</f>
        <v>0</v>
      </c>
      <c r="F15" s="41">
        <f>'Rec.Data System-IN'!F24</f>
        <v>0</v>
      </c>
      <c r="G15" s="139">
        <f>'Rec.Data System-IN'!I24</f>
        <v>20379486</v>
      </c>
      <c r="H15" s="139">
        <f>'Rec.Data System-IN'!K24</f>
        <v>0</v>
      </c>
      <c r="I15" s="139">
        <f>'Rec.Data System-IN'!M24</f>
        <v>0</v>
      </c>
      <c r="J15" s="139">
        <f>'Rec.Data System-IN'!R24</f>
        <v>0</v>
      </c>
      <c r="K15" s="139">
        <f>'Rec.Data System-IN'!S24</f>
        <v>0</v>
      </c>
      <c r="L15" s="139">
        <f>'Rec.Data System-IN'!T24</f>
        <v>0</v>
      </c>
      <c r="M15" s="139">
        <f>'Rec.Data System-IN'!U24</f>
        <v>0</v>
      </c>
      <c r="N15" s="139">
        <f>'Rec.Data System-IN'!V24</f>
        <v>0</v>
      </c>
      <c r="O15" s="139">
        <f>'Rec.Data System-IN'!W24</f>
        <v>0</v>
      </c>
      <c r="P15" s="138">
        <f>'Rec.Data System-IN'!J24</f>
        <v>19</v>
      </c>
      <c r="Q15" s="140">
        <f>'Rec.Data System-IN'!L24</f>
        <v>0</v>
      </c>
    </row>
    <row r="16">
      <c r="B16" s="135" t="s">
        <v>45</v>
      </c>
      <c r="C16" s="136">
        <f>'Rec.Data System-IN'!D25</f>
        <v>234622</v>
      </c>
      <c r="D16" s="137" t="s">
        <v>144</v>
      </c>
      <c r="E16" s="138">
        <f>'Rec.Data System-IN'!E25</f>
        <v>234640</v>
      </c>
      <c r="F16" s="41">
        <f>'Rec.Data System-IN'!F25</f>
        <v>5285</v>
      </c>
      <c r="G16" s="139">
        <f>'Rec.Data System-IN'!I25</f>
        <v>43630748</v>
      </c>
      <c r="H16" s="139">
        <f>'Rec.Data System-IN'!K25</f>
        <v>3986257</v>
      </c>
      <c r="I16" s="139">
        <f>'Rec.Data System-IN'!M25</f>
        <v>25000</v>
      </c>
      <c r="J16" s="139">
        <f>'Rec.Data System-IN'!R25</f>
        <v>4011257</v>
      </c>
      <c r="K16" s="139">
        <f>'Rec.Data System-IN'!S25</f>
        <v>1671375</v>
      </c>
      <c r="L16" s="139">
        <f>'Rec.Data System-IN'!T25</f>
        <v>0</v>
      </c>
      <c r="M16" s="139">
        <f>'Rec.Data System-IN'!U25</f>
        <v>2600000</v>
      </c>
      <c r="N16" s="139">
        <f>'Rec.Data System-IN'!V25</f>
        <v>0</v>
      </c>
      <c r="O16" s="139">
        <f>'Rec.Data System-IN'!W25</f>
        <v>0</v>
      </c>
      <c r="P16" s="138">
        <f>'Rec.Data System-IN'!J25</f>
        <v>19</v>
      </c>
      <c r="Q16" s="140">
        <f>'Rec.Data System-IN'!L25</f>
        <v>8</v>
      </c>
    </row>
    <row r="17">
      <c r="B17" s="135" t="s">
        <v>46</v>
      </c>
      <c r="C17" s="136">
        <f>'Rec.Data System-IN'!D26</f>
        <v>234641</v>
      </c>
      <c r="D17" s="137" t="s">
        <v>144</v>
      </c>
      <c r="E17" s="138">
        <f>'Rec.Data System-IN'!E26</f>
        <v>234655</v>
      </c>
      <c r="F17" s="41">
        <f>'Rec.Data System-IN'!F26</f>
        <v>5286</v>
      </c>
      <c r="G17" s="139">
        <f>'Rec.Data System-IN'!I26</f>
        <v>15183423</v>
      </c>
      <c r="H17" s="139">
        <f>'Rec.Data System-IN'!K26</f>
        <v>4099577</v>
      </c>
      <c r="I17" s="139">
        <f>'Rec.Data System-IN'!M26</f>
        <v>25000</v>
      </c>
      <c r="J17" s="139">
        <f>'Rec.Data System-IN'!R26</f>
        <v>4124577</v>
      </c>
      <c r="K17" s="139">
        <f>'Rec.Data System-IN'!S26</f>
        <v>1567155</v>
      </c>
      <c r="L17" s="139">
        <f>'Rec.Data System-IN'!T26</f>
        <v>0</v>
      </c>
      <c r="M17" s="139">
        <f>'Rec.Data System-IN'!U26</f>
        <v>8700000</v>
      </c>
      <c r="N17" s="139">
        <f>'Rec.Data System-IN'!V26</f>
        <v>0</v>
      </c>
      <c r="O17" s="139">
        <f>'Rec.Data System-IN'!W26</f>
        <v>0</v>
      </c>
      <c r="P17" s="138">
        <f>'Rec.Data System-IN'!J26</f>
        <v>15</v>
      </c>
      <c r="Q17" s="140">
        <f>'Rec.Data System-IN'!L26</f>
        <v>9</v>
      </c>
    </row>
    <row r="18">
      <c r="B18" s="141" t="s">
        <v>47</v>
      </c>
      <c r="C18" s="136">
        <f>'Rec.Data System-IN'!D27</f>
        <v>240206</v>
      </c>
      <c r="D18" s="142" t="s">
        <v>144</v>
      </c>
      <c r="E18" s="138">
        <f>'Rec.Data System-IN'!E27</f>
        <v>240220</v>
      </c>
      <c r="F18" s="41">
        <f>'Rec.Data System-IN'!F27</f>
        <v>5287</v>
      </c>
      <c r="G18" s="139">
        <f>'Rec.Data System-IN'!I27</f>
        <v>16651598</v>
      </c>
      <c r="H18" s="139">
        <f>'Rec.Data System-IN'!K27</f>
        <v>4524300</v>
      </c>
      <c r="I18" s="139">
        <f>'Rec.Data System-IN'!M27</f>
        <v>50000</v>
      </c>
      <c r="J18" s="139">
        <f>'Rec.Data System-IN'!R27</f>
        <v>4574300</v>
      </c>
      <c r="K18" s="139">
        <f>'Rec.Data System-IN'!S27</f>
        <v>2939800</v>
      </c>
      <c r="L18" s="139">
        <f>'Rec.Data System-IN'!T27</f>
        <v>0</v>
      </c>
      <c r="M18" s="139">
        <f>'Rec.Data System-IN'!U27</f>
        <v>1005000</v>
      </c>
      <c r="N18" s="139">
        <f>'Rec.Data System-IN'!V27</f>
        <v>0</v>
      </c>
      <c r="O18" s="139">
        <f>'Rec.Data System-IN'!W27</f>
        <v>0</v>
      </c>
      <c r="P18" s="138">
        <f>'Rec.Data System-IN'!J27</f>
        <v>15</v>
      </c>
      <c r="Q18" s="140">
        <f>'Rec.Data System-IN'!L27</f>
        <v>8</v>
      </c>
    </row>
    <row r="19" ht="15">
      <c r="B19" s="143" t="s">
        <v>145</v>
      </c>
      <c r="C19" s="144"/>
      <c r="D19" s="145"/>
      <c r="E19" s="146"/>
      <c r="F19" s="146"/>
      <c r="G19" s="147">
        <f t="shared" ref="G19:Q19" si="15">SUM(G7:G18)</f>
        <v>247996055</v>
      </c>
      <c r="H19" s="147">
        <f t="shared" si="15"/>
        <v>34564574</v>
      </c>
      <c r="I19" s="147">
        <f t="shared" si="15"/>
        <v>275000</v>
      </c>
      <c r="J19" s="147">
        <f t="shared" si="15"/>
        <v>31593074</v>
      </c>
      <c r="K19" s="147">
        <f t="shared" si="15"/>
        <v>23434705</v>
      </c>
      <c r="L19" s="147">
        <f t="shared" si="15"/>
        <v>0</v>
      </c>
      <c r="M19" s="147">
        <f t="shared" si="15"/>
        <v>16277000</v>
      </c>
      <c r="N19" s="147">
        <f t="shared" si="15"/>
        <v>0</v>
      </c>
      <c r="O19" s="147">
        <f t="shared" si="15"/>
        <v>0</v>
      </c>
      <c r="P19" s="146">
        <f t="shared" si="15"/>
        <v>222</v>
      </c>
      <c r="Q19" s="148">
        <f t="shared" si="15"/>
        <v>71</v>
      </c>
    </row>
    <row r="21" ht="15">
      <c r="C21" s="149" t="s">
        <v>146</v>
      </c>
      <c r="E21" s="150" t="str">
        <f>'Rec.Data System-IN'!D10</f>
        <v xml:space="preserve">CIBINONG KOTA</v>
      </c>
    </row>
    <row r="22">
      <c r="C22" s="149" t="s">
        <v>147</v>
      </c>
      <c r="E22" s="76" t="str">
        <f>'Rec.Data System-IN'!D34</f>
        <v xml:space="preserve">Pdt.Lindon J. Situmorang</v>
      </c>
    </row>
    <row r="23">
      <c r="C23" s="149" t="s">
        <v>148</v>
      </c>
      <c r="E23" s="76" t="str">
        <f>'Rec.Data System-IN'!D35</f>
        <v xml:space="preserve">Lessie Manurung</v>
      </c>
    </row>
    <row r="24">
      <c r="C24" s="149" t="s">
        <v>149</v>
      </c>
      <c r="E24" s="76" t="str">
        <f>'Rec.Data System-IN'!D36</f>
        <v>II</v>
      </c>
    </row>
  </sheetData>
  <mergeCells count="4">
    <mergeCell ref="B2:Q2"/>
    <mergeCell ref="B3:Q3"/>
    <mergeCell ref="B4:Q4"/>
    <mergeCell ref="C6:E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60" verticalDpi="36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21" zoomScale="100" workbookViewId="0">
      <selection activeCell="L16" activeCellId="0" sqref="L16"/>
    </sheetView>
  </sheetViews>
  <sheetFormatPr defaultRowHeight="15"/>
  <cols>
    <col customWidth="1" min="1" max="1" width="3.5703125"/>
    <col customWidth="1" min="2" max="2" width="41"/>
    <col customWidth="1" min="3" max="3" width="18.140625"/>
    <col customWidth="1" min="4" max="4" width="2"/>
    <col customWidth="1" min="5" max="5" width="17.85546875"/>
    <col customWidth="1" min="6" max="6" width="1.85546875"/>
    <col customWidth="1" min="7" max="7" width="17"/>
    <col customWidth="1" min="8" max="8" width="1.85546875"/>
    <col customWidth="1" min="9" max="9" width="17.85546875"/>
  </cols>
  <sheetData>
    <row r="1" ht="14.449999999999999" customHeight="1">
      <c r="B1" s="151" t="str">
        <f>'Rec.Data System-IN'!D10</f>
        <v xml:space="preserve">CIBINONG KOTA</v>
      </c>
      <c r="C1" s="151"/>
      <c r="D1" s="151"/>
      <c r="E1" s="151"/>
      <c r="F1" s="151"/>
      <c r="G1" s="151"/>
      <c r="H1" s="151"/>
      <c r="I1" s="151"/>
    </row>
    <row r="2" ht="14.449999999999999" customHeight="1">
      <c r="B2" s="151"/>
      <c r="C2" s="151"/>
      <c r="D2" s="151"/>
      <c r="E2" s="151"/>
      <c r="F2" s="151"/>
      <c r="G2" s="151"/>
      <c r="H2" s="151"/>
      <c r="I2" s="151"/>
    </row>
    <row r="3" s="152" customFormat="1" ht="19.899999999999999" customHeight="1">
      <c r="B3" s="153" t="s">
        <v>150</v>
      </c>
      <c r="C3" s="153"/>
      <c r="D3" s="153"/>
      <c r="E3" s="153"/>
      <c r="F3" s="153"/>
      <c r="G3" s="153"/>
      <c r="H3" s="153"/>
      <c r="I3" s="153"/>
    </row>
    <row r="4">
      <c r="B4" s="154">
        <f>'Rec.Data System-IN'!T10</f>
        <v>2023</v>
      </c>
      <c r="C4" s="154"/>
      <c r="D4" s="154"/>
      <c r="E4" s="154"/>
      <c r="F4" s="154"/>
      <c r="G4" s="154"/>
      <c r="H4" s="154"/>
      <c r="I4" s="154"/>
    </row>
    <row r="6">
      <c r="B6" s="155" t="s">
        <v>151</v>
      </c>
      <c r="C6" s="156" t="s">
        <v>152</v>
      </c>
      <c r="E6" s="156" t="s">
        <v>153</v>
      </c>
      <c r="G6" s="156" t="s">
        <v>154</v>
      </c>
      <c r="I6" s="156" t="s">
        <v>155</v>
      </c>
    </row>
    <row r="7">
      <c r="B7" t="s">
        <v>156</v>
      </c>
      <c r="C7" s="157">
        <f>'Rec.Data System-IN'!N29</f>
        <v>247996055</v>
      </c>
      <c r="D7" s="157"/>
      <c r="E7" s="157">
        <v>157985877</v>
      </c>
      <c r="G7" s="157">
        <f t="shared" ref="G7:G8" si="16">C7-E7</f>
        <v>90010178</v>
      </c>
      <c r="I7" s="158">
        <f t="shared" ref="I7:I8" si="17">G7/C7</f>
        <v>0.36295003966897782</v>
      </c>
    </row>
    <row r="8">
      <c r="B8" t="s">
        <v>157</v>
      </c>
      <c r="C8" s="159">
        <f>'Rec.Data System-IN'!O29</f>
        <v>34564574</v>
      </c>
      <c r="D8" s="157"/>
      <c r="E8" s="159">
        <v>21728145</v>
      </c>
      <c r="G8" s="159">
        <f t="shared" si="16"/>
        <v>12836429</v>
      </c>
      <c r="I8" s="160">
        <f t="shared" si="17"/>
        <v>0.3713752988826074</v>
      </c>
    </row>
    <row r="9">
      <c r="C9" s="157"/>
      <c r="D9" s="157"/>
      <c r="E9" s="157"/>
      <c r="I9" s="158"/>
    </row>
    <row r="10">
      <c r="B10" s="161" t="s">
        <v>158</v>
      </c>
      <c r="C10" s="157">
        <f>SUM(C7:C9)</f>
        <v>282560629</v>
      </c>
      <c r="D10" s="157">
        <f t="shared" ref="D10:H10" si="18">SUM(D7:D9)</f>
        <v>0</v>
      </c>
      <c r="E10" s="157">
        <f>SUM(E7:E9)</f>
        <v>179714022</v>
      </c>
      <c r="F10" s="157">
        <f t="shared" si="18"/>
        <v>0</v>
      </c>
      <c r="G10" s="157">
        <f>SUM(G7:G9)</f>
        <v>102846607</v>
      </c>
      <c r="H10" s="157">
        <f t="shared" si="18"/>
        <v>0</v>
      </c>
      <c r="I10" s="158">
        <f>G10/C10</f>
        <v>0.36398066979104865</v>
      </c>
    </row>
    <row r="12">
      <c r="B12" s="155" t="s">
        <v>159</v>
      </c>
      <c r="C12" s="156">
        <v>2022</v>
      </c>
      <c r="E12" s="156">
        <v>2023</v>
      </c>
      <c r="G12" s="156" t="s">
        <v>154</v>
      </c>
      <c r="I12" s="156" t="s">
        <v>155</v>
      </c>
    </row>
    <row r="14">
      <c r="B14" t="s">
        <v>156</v>
      </c>
      <c r="C14" s="157">
        <v>0</v>
      </c>
      <c r="E14" s="162">
        <f>'Rec.Data System-IN'!N29</f>
        <v>247996055</v>
      </c>
      <c r="G14" s="162">
        <f t="shared" ref="G14:G16" si="19">E14-C14</f>
        <v>247996055</v>
      </c>
      <c r="I14" s="158" t="e">
        <f t="shared" ref="I14:I45" si="20">G14/C14</f>
        <v>#DIV/0!</v>
      </c>
    </row>
    <row r="15">
      <c r="B15" t="s">
        <v>157</v>
      </c>
      <c r="C15" s="157">
        <v>0</v>
      </c>
      <c r="E15" s="162">
        <f>'Rec.Data System-IN'!O29</f>
        <v>34564574</v>
      </c>
      <c r="G15" s="162">
        <f t="shared" si="19"/>
        <v>34564574</v>
      </c>
      <c r="I15" s="158" t="e">
        <f t="shared" si="20"/>
        <v>#DIV/0!</v>
      </c>
    </row>
    <row r="16">
      <c r="B16" t="s">
        <v>160</v>
      </c>
      <c r="C16" s="159">
        <v>0</v>
      </c>
      <c r="E16" s="163">
        <f>'Rec.Data System-IN'!P29</f>
        <v>275000</v>
      </c>
      <c r="G16" s="163">
        <f t="shared" si="19"/>
        <v>275000</v>
      </c>
      <c r="I16" s="160" t="e">
        <f t="shared" si="20"/>
        <v>#DIV/0!</v>
      </c>
    </row>
    <row r="17">
      <c r="B17" s="161" t="s">
        <v>161</v>
      </c>
      <c r="C17" s="162">
        <f>SUM(C14:C16)</f>
        <v>0</v>
      </c>
      <c r="E17" s="157">
        <f>SUM(E14:E16)</f>
        <v>282835629</v>
      </c>
      <c r="G17" s="157">
        <f>SUM(G14:G16)</f>
        <v>282835629</v>
      </c>
      <c r="I17" s="158" t="e">
        <f t="shared" si="20"/>
        <v>#DIV/0!</v>
      </c>
    </row>
    <row r="18">
      <c r="B18" s="161"/>
      <c r="C18" s="162"/>
      <c r="E18" s="157"/>
      <c r="G18" s="157"/>
      <c r="I18" s="158"/>
    </row>
    <row r="19">
      <c r="B19" s="155" t="s">
        <v>162</v>
      </c>
      <c r="C19" s="156">
        <v>2022</v>
      </c>
      <c r="E19" s="156">
        <v>2023</v>
      </c>
      <c r="G19" s="156" t="s">
        <v>154</v>
      </c>
      <c r="I19" s="156" t="s">
        <v>155</v>
      </c>
    </row>
    <row r="20">
      <c r="B20" s="161"/>
      <c r="C20" s="162"/>
      <c r="E20" s="157"/>
      <c r="G20" s="157"/>
      <c r="I20" s="158"/>
    </row>
    <row r="21">
      <c r="B21" t="s">
        <v>156</v>
      </c>
      <c r="C21" s="162">
        <v>0</v>
      </c>
      <c r="E21" s="157">
        <f>'Rekap T&amp;O'!P19</f>
        <v>222</v>
      </c>
      <c r="G21" s="162">
        <f t="shared" ref="G21:G22" si="21">E21-C21</f>
        <v>222</v>
      </c>
      <c r="I21" s="158" t="e">
        <f t="shared" si="20"/>
        <v>#DIV/0!</v>
      </c>
    </row>
    <row r="22">
      <c r="B22" t="s">
        <v>157</v>
      </c>
      <c r="C22" s="159">
        <v>0</v>
      </c>
      <c r="E22" s="159">
        <f>'Rekap T&amp;O'!Q19</f>
        <v>71</v>
      </c>
      <c r="G22" s="163">
        <f t="shared" si="21"/>
        <v>71</v>
      </c>
      <c r="I22" s="160" t="e">
        <f t="shared" si="20"/>
        <v>#DIV/0!</v>
      </c>
    </row>
    <row r="23">
      <c r="B23" s="161" t="s">
        <v>163</v>
      </c>
      <c r="C23" s="162">
        <f>SUM(C21:C22)</f>
        <v>0</v>
      </c>
      <c r="E23" s="162">
        <f>SUM(E21:E22)</f>
        <v>293</v>
      </c>
      <c r="G23" s="157">
        <f>SUM(G21:G22)</f>
        <v>293</v>
      </c>
      <c r="I23" s="158" t="e">
        <f t="shared" si="20"/>
        <v>#DIV/0!</v>
      </c>
    </row>
    <row r="24">
      <c r="B24" s="161"/>
      <c r="C24" s="162"/>
      <c r="E24" s="162"/>
      <c r="G24" s="162"/>
      <c r="I24" s="158"/>
    </row>
    <row r="26">
      <c r="B26" s="155" t="s">
        <v>164</v>
      </c>
      <c r="C26" s="156">
        <v>2022</v>
      </c>
      <c r="E26" s="156">
        <v>2023</v>
      </c>
      <c r="G26" s="156" t="s">
        <v>154</v>
      </c>
      <c r="I26" s="156" t="s">
        <v>155</v>
      </c>
    </row>
    <row r="28">
      <c r="B28" t="s">
        <v>157</v>
      </c>
      <c r="C28" s="157">
        <v>0</v>
      </c>
      <c r="E28" s="162">
        <f>'Rec.Data System-IN'!R29</f>
        <v>31593074</v>
      </c>
      <c r="G28" s="162">
        <f t="shared" ref="G28:G45" si="22">E28-C28</f>
        <v>31593074</v>
      </c>
      <c r="I28" s="158" t="e">
        <f t="shared" si="20"/>
        <v>#DIV/0!</v>
      </c>
    </row>
    <row r="29">
      <c r="B29" t="s">
        <v>143</v>
      </c>
      <c r="C29" s="157">
        <v>0</v>
      </c>
      <c r="E29" s="162">
        <f>'Rec.Data System-IN'!S29</f>
        <v>23434705</v>
      </c>
      <c r="G29" s="162">
        <f t="shared" si="22"/>
        <v>23434705</v>
      </c>
      <c r="I29" s="158" t="e">
        <f t="shared" si="20"/>
        <v>#DIV/0!</v>
      </c>
    </row>
    <row r="30">
      <c r="B30" t="s">
        <v>165</v>
      </c>
      <c r="C30" s="157">
        <v>0</v>
      </c>
      <c r="E30" s="162">
        <f>'Rec.Data System-IN'!T29</f>
        <v>0</v>
      </c>
      <c r="G30" s="162">
        <f t="shared" si="22"/>
        <v>0</v>
      </c>
      <c r="I30" s="158" t="e">
        <f t="shared" si="20"/>
        <v>#DIV/0!</v>
      </c>
    </row>
    <row r="31">
      <c r="B31" t="s">
        <v>166</v>
      </c>
      <c r="C31" s="157">
        <v>0</v>
      </c>
      <c r="E31" s="162">
        <f>'Rec.Data System-IN'!U29</f>
        <v>16277000</v>
      </c>
      <c r="G31" s="162">
        <f t="shared" si="22"/>
        <v>16277000</v>
      </c>
      <c r="I31" s="158" t="e">
        <f t="shared" si="20"/>
        <v>#DIV/0!</v>
      </c>
    </row>
    <row r="32">
      <c r="B32" t="s">
        <v>167</v>
      </c>
      <c r="C32" s="157">
        <v>0</v>
      </c>
      <c r="E32" s="162">
        <f>'Rec.Data System-IN'!V29</f>
        <v>0</v>
      </c>
      <c r="G32" s="162">
        <f t="shared" si="22"/>
        <v>0</v>
      </c>
      <c r="I32" s="158"/>
    </row>
    <row r="33">
      <c r="B33" t="s">
        <v>168</v>
      </c>
      <c r="C33" s="159">
        <v>0</v>
      </c>
      <c r="E33" s="159">
        <f>'Rec.Data System-IN'!W29</f>
        <v>0</v>
      </c>
      <c r="G33" s="163">
        <f t="shared" si="22"/>
        <v>0</v>
      </c>
      <c r="I33" s="160" t="e">
        <f t="shared" si="20"/>
        <v>#DIV/0!</v>
      </c>
    </row>
    <row r="34">
      <c r="C34" s="157"/>
      <c r="E34" s="157"/>
      <c r="G34" s="157"/>
      <c r="I34" s="158"/>
    </row>
    <row r="35">
      <c r="B35" t="s">
        <v>169</v>
      </c>
      <c r="C35" s="162">
        <f>SUM(C28:C34)</f>
        <v>0</v>
      </c>
      <c r="D35" s="162">
        <f>SUM(D28:D34)</f>
        <v>0</v>
      </c>
      <c r="E35" s="162">
        <f>'Rec.Data System-IN'!R29+'Rec.Data System-IN'!S29+'Rec.Data System-IN'!T29+'Rec.Data System-IN'!U29+'Rec.Data System-IN'!V29+'Rec.Data System-IN'!W29</f>
        <v>71304779</v>
      </c>
      <c r="F35" s="162">
        <f>SUM(F28:F34)</f>
        <v>0</v>
      </c>
      <c r="G35" s="162">
        <f t="shared" si="22"/>
        <v>71304779</v>
      </c>
      <c r="I35" s="158" t="e">
        <f t="shared" si="20"/>
        <v>#DIV/0!</v>
      </c>
    </row>
    <row r="37">
      <c r="B37" s="155" t="s">
        <v>170</v>
      </c>
      <c r="C37" s="156">
        <v>2022</v>
      </c>
      <c r="E37" s="156">
        <v>2023</v>
      </c>
      <c r="G37" s="156" t="s">
        <v>154</v>
      </c>
      <c r="I37" s="156" t="s">
        <v>155</v>
      </c>
    </row>
    <row r="39">
      <c r="B39" t="s">
        <v>83</v>
      </c>
      <c r="C39" s="157">
        <v>0</v>
      </c>
      <c r="E39" s="162">
        <f>'Rec. Data System-Out'!H45+'Rec. Data System-Out'!H103+'Rec. Data System-Out'!H161+'Rec. Data System-Out'!H219+'Rec. Data System-Out'!H277+'Rec. Data System-Out'!H335+'Rec. Data System-Out'!H393+'Rec. Data System-Out'!H451+'Rec. Data System-Out'!H509+'Rec. Data System-Out'!H567+'Rec. Data System-Out'!H625+'Rec. Data System-Out'!H683</f>
        <v>0</v>
      </c>
      <c r="G39" s="162">
        <f t="shared" si="22"/>
        <v>0</v>
      </c>
      <c r="I39" s="158" t="e">
        <f t="shared" si="20"/>
        <v>#DIV/0!</v>
      </c>
    </row>
    <row r="40">
      <c r="B40" t="s">
        <v>165</v>
      </c>
      <c r="C40" s="157">
        <v>0</v>
      </c>
      <c r="E40" s="162">
        <f>'Rec. Data System-Out'!H50+'Rec. Data System-Out'!H108+'Rec. Data System-Out'!H166+'Rec. Data System-Out'!H224+'Rec. Data System-Out'!H282+'Rec. Data System-Out'!H340+'Rec. Data System-Out'!H398+'Rec. Data System-Out'!H456+'Rec. Data System-Out'!H514+'Rec. Data System-Out'!H572+'Rec. Data System-Out'!H630+'Rec. Data System-Out'!H688</f>
        <v>0</v>
      </c>
      <c r="G40" s="162">
        <f t="shared" si="22"/>
        <v>0</v>
      </c>
      <c r="I40" s="158" t="e">
        <f t="shared" si="20"/>
        <v>#DIV/0!</v>
      </c>
    </row>
    <row r="41">
      <c r="B41" t="s">
        <v>166</v>
      </c>
      <c r="C41" s="157">
        <v>0</v>
      </c>
      <c r="E41" s="162">
        <f>'Rec. Data System-Out'!H55+'Rec. Data System-Out'!H113+'Rec. Data System-Out'!H171+'Rec. Data System-Out'!H229+'Rec. Data System-Out'!H287+'Rec. Data System-Out'!H345+'Rec. Data System-Out'!H403+'Rec. Data System-Out'!H461+'Rec. Data System-Out'!H519+'Rec. Data System-Out'!H577+'Rec. Data System-Out'!H635+'Rec. Data System-Out'!H693</f>
        <v>0</v>
      </c>
      <c r="G41" s="162">
        <f t="shared" si="22"/>
        <v>0</v>
      </c>
      <c r="I41" s="158" t="e">
        <f t="shared" si="20"/>
        <v>#DIV/0!</v>
      </c>
    </row>
    <row r="42">
      <c r="B42" t="s">
        <v>167</v>
      </c>
      <c r="C42" s="157">
        <v>0</v>
      </c>
      <c r="E42" s="162">
        <f>'Rec. Data System-Out'!H60+'Rec. Data System-Out'!H118+'Rec. Data System-Out'!H176+'Rec. Data System-Out'!H234+'Rec. Data System-Out'!H292+'Rec. Data System-Out'!H350+'Rec. Data System-Out'!H408+'Rec. Data System-Out'!H466+'Rec. Data System-Out'!H524+'Rec. Data System-Out'!H582+'Rec. Data System-Out'!H640+'Rec. Data System-Out'!H698</f>
        <v>0</v>
      </c>
      <c r="G42" s="162">
        <f t="shared" si="22"/>
        <v>0</v>
      </c>
      <c r="I42" s="158"/>
    </row>
    <row r="43">
      <c r="B43" t="s">
        <v>168</v>
      </c>
      <c r="C43" s="159">
        <v>0</v>
      </c>
      <c r="E43" s="163">
        <f>'Rec. Data System-Out'!H65+'Rec. Data System-Out'!H123+'Rec. Data System-Out'!H181+'Rec. Data System-Out'!H239+'Rec. Data System-Out'!H297+'Rec. Data System-Out'!H355+'Rec. Data System-Out'!H413+'Rec. Data System-Out'!H471+'Rec. Data System-Out'!H529+'Rec. Data System-Out'!H587+'Rec. Data System-Out'!H645+'Rec. Data System-Out'!H703</f>
        <v>0</v>
      </c>
      <c r="G43" s="163">
        <f t="shared" si="22"/>
        <v>0</v>
      </c>
      <c r="I43" s="164" t="e">
        <f t="shared" si="20"/>
        <v>#DIV/0!</v>
      </c>
    </row>
    <row r="45">
      <c r="B45" t="s">
        <v>171</v>
      </c>
      <c r="C45" s="157">
        <f>SUM(C39:C44)</f>
        <v>0</v>
      </c>
      <c r="E45" s="162">
        <f>'Rec. Data System-Out'!H67+'Rec. Data System-Out'!H125+'Rec. Data System-Out'!H183+'Rec. Data System-Out'!H241+'Rec. Data System-Out'!H299+'Rec. Data System-Out'!H357+'Rec. Data System-Out'!H415+'Rec. Data System-Out'!H473+'Rec. Data System-Out'!H531+'Rec. Data System-Out'!H589+'Rec. Data System-Out'!H647+'Rec. Data System-Out'!H705</f>
        <v>0</v>
      </c>
      <c r="G45" s="162">
        <f t="shared" si="22"/>
        <v>0</v>
      </c>
      <c r="I45" s="158" t="e">
        <f t="shared" si="20"/>
        <v>#DIV/0!</v>
      </c>
    </row>
    <row r="48">
      <c r="C48" s="165" t="s">
        <v>172</v>
      </c>
      <c r="D48" s="166"/>
      <c r="E48" s="166"/>
      <c r="F48" s="166"/>
      <c r="G48" s="166"/>
      <c r="H48" s="166"/>
      <c r="I48" s="165" t="s">
        <v>173</v>
      </c>
    </row>
    <row r="49">
      <c r="B49" s="155" t="s">
        <v>174</v>
      </c>
      <c r="C49" s="167" t="s">
        <v>175</v>
      </c>
      <c r="D49" s="166"/>
      <c r="E49" s="167" t="s">
        <v>176</v>
      </c>
      <c r="F49" s="166"/>
      <c r="G49" s="167" t="s">
        <v>177</v>
      </c>
      <c r="H49" s="166"/>
      <c r="I49" s="167" t="s">
        <v>178</v>
      </c>
    </row>
    <row r="50">
      <c r="B50" t="s">
        <v>156</v>
      </c>
      <c r="C50" s="157">
        <v>0</v>
      </c>
      <c r="E50" s="157">
        <f>'Rec.Data System-IN'!I29</f>
        <v>247996055</v>
      </c>
      <c r="G50" s="157">
        <f>'Rec.Data System-IN'!N29</f>
        <v>247996055</v>
      </c>
      <c r="I50" s="162">
        <f t="shared" ref="I50:I52" si="23">C50+E50-G50</f>
        <v>0</v>
      </c>
    </row>
    <row r="51">
      <c r="B51" t="s">
        <v>179</v>
      </c>
      <c r="C51" s="157">
        <v>0</v>
      </c>
      <c r="E51" s="157">
        <f>'Rec.Data System-IN'!K29+'Rec.Data System-IN'!M29</f>
        <v>34839574</v>
      </c>
      <c r="G51" s="157">
        <f>'Rec.Data System-IN'!O29+'Rec.Data System-IN'!P29</f>
        <v>34839574</v>
      </c>
      <c r="I51" s="162">
        <f t="shared" si="23"/>
        <v>0</v>
      </c>
    </row>
    <row r="52">
      <c r="B52" t="s">
        <v>74</v>
      </c>
      <c r="C52" s="157">
        <f>'Rec. Data System-Out'!F26+'Rec. Data System-Out'!F27+'Rec. Data System-Out'!F28+'Rec. Data System-Out'!F29+'Rec. Data System-Out'!F30</f>
        <v>0</v>
      </c>
      <c r="E52" s="157">
        <f>'Rekap T&amp;O'!J19+'Rekap T&amp;O'!K19+'Rekap T&amp;O'!L19+'Rekap T&amp;O'!M19+'Rekap T&amp;O'!N19+'Rekap T&amp;O'!O19</f>
        <v>71304779</v>
      </c>
      <c r="G52" s="157">
        <f>'Rec. Data System-Out'!H67+'Rec. Data System-Out'!H125+'Rec. Data System-Out'!H183+'Rec. Data System-Out'!H241+'Rec. Data System-Out'!H299+'Rec. Data System-Out'!H357+'Rec. Data System-Out'!H415+'Rec. Data System-Out'!H473+'Rec. Data System-Out'!H531+'Rec. Data System-Out'!H589+'Rec. Data System-Out'!H647+'Rec. Data System-Out'!H705</f>
        <v>0</v>
      </c>
      <c r="I52" s="163">
        <f t="shared" si="23"/>
        <v>71304779</v>
      </c>
    </row>
    <row r="53">
      <c r="I53" s="162"/>
    </row>
    <row r="54" s="168" customFormat="1">
      <c r="B54" s="169" t="s">
        <v>180</v>
      </c>
      <c r="C54" s="169"/>
      <c r="D54" s="169"/>
      <c r="E54" s="169"/>
      <c r="F54" s="169"/>
      <c r="G54" s="169"/>
      <c r="H54" s="169"/>
      <c r="I54" s="170">
        <f>SUM(I50:I53)</f>
        <v>71304779</v>
      </c>
    </row>
  </sheetData>
  <mergeCells count="3">
    <mergeCell ref="B1:I2"/>
    <mergeCell ref="B3:I3"/>
    <mergeCell ref="B4:I4"/>
  </mergeCells>
  <printOptions headings="0" gridLines="0"/>
  <pageMargins left="0.51181102362204722" right="0.11811023622047245" top="0.55118110236220474" bottom="0.35433070866141736" header="0.31496062992125984" footer="0.31496062992125984"/>
  <pageSetup paperSize="9" scale="77" fitToWidth="1" fitToHeight="1" pageOrder="downThenOver" orientation="portrait" usePrinterDefaults="1" blackAndWhite="0" draft="0" cellComments="none" useFirstPageNumber="0" errors="displayed" horizontalDpi="360" verticalDpi="36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M24" activeCellId="0" sqref="M24"/>
    </sheetView>
  </sheetViews>
  <sheetFormatPr defaultRowHeight="15"/>
  <cols>
    <col customWidth="1" min="1" max="1" width="3"/>
    <col customWidth="1" min="3" max="3" width="23.28515625"/>
    <col customWidth="1" min="4" max="4" width="19.28515625"/>
    <col customWidth="1" min="5" max="5" width="19.5703125"/>
    <col customWidth="1" min="6" max="6" width="20.140625"/>
    <col customWidth="1" min="7" max="7" width="19"/>
    <col customWidth="1" min="8" max="8" width="19.5703125"/>
    <col customWidth="1" min="9" max="9" width="19"/>
    <col customWidth="1" min="10" max="10" width="19.5703125"/>
    <col customWidth="1" min="11" max="11" width="13.28515625"/>
  </cols>
  <sheetData>
    <row r="2" ht="23.449999999999999" customHeight="1">
      <c r="B2" s="171" t="s">
        <v>181</v>
      </c>
      <c r="C2" s="171"/>
      <c r="D2" s="171"/>
      <c r="E2" s="171"/>
      <c r="F2" s="171"/>
      <c r="G2" s="171"/>
      <c r="H2" s="171"/>
      <c r="I2" s="171"/>
      <c r="J2" s="171"/>
    </row>
    <row r="4" ht="15.75">
      <c r="B4" s="172" t="s">
        <v>9</v>
      </c>
      <c r="C4" s="173" t="s">
        <v>96</v>
      </c>
      <c r="D4" s="174" t="s">
        <v>169</v>
      </c>
      <c r="E4" s="175"/>
      <c r="F4" s="175"/>
      <c r="G4" s="175"/>
      <c r="H4" s="176"/>
      <c r="I4" s="173" t="s">
        <v>182</v>
      </c>
      <c r="J4" s="173" t="s">
        <v>183</v>
      </c>
    </row>
    <row r="5">
      <c r="B5" s="177"/>
      <c r="C5" s="178"/>
      <c r="D5" s="179" t="s">
        <v>83</v>
      </c>
      <c r="E5" s="179" t="s">
        <v>165</v>
      </c>
      <c r="F5" s="179" t="s">
        <v>166</v>
      </c>
      <c r="G5" s="179" t="s">
        <v>167</v>
      </c>
      <c r="H5" s="179" t="s">
        <v>184</v>
      </c>
      <c r="I5" s="178"/>
      <c r="J5" s="178"/>
    </row>
    <row r="7" ht="15.75">
      <c r="B7" s="180">
        <v>1</v>
      </c>
      <c r="C7" s="181" t="s">
        <v>185</v>
      </c>
      <c r="D7" s="182">
        <f>'Rec.Data System-IN'!R16+'Rec.Data System-IN'!S16+'Rec. Data System-Out'!F26</f>
        <v>7981063</v>
      </c>
      <c r="E7" s="182">
        <f>'Rec.Data System-IN'!T16+'Rec. Data System-Out'!F27</f>
        <v>0</v>
      </c>
      <c r="F7" s="182">
        <f>'Rec.Data System-IN'!U16+'Rec. Data System-Out'!F28</f>
        <v>1106000</v>
      </c>
      <c r="G7" s="182">
        <f>'Rec.Data System-IN'!V16+'Rec. Data System-Out'!F29</f>
        <v>0</v>
      </c>
      <c r="H7" s="182">
        <f>'Rec.Data System-IN'!W16+'Rec. Data System-Out'!F30</f>
        <v>0</v>
      </c>
      <c r="I7" s="182">
        <f>'Rec. Data System-Out'!H67</f>
        <v>0</v>
      </c>
      <c r="J7" s="182">
        <f t="shared" ref="J7:J18" si="24">D7+E7+F7+G7+H7-I7</f>
        <v>9087063</v>
      </c>
    </row>
    <row r="8" ht="15.75">
      <c r="B8" s="180">
        <v>2</v>
      </c>
      <c r="C8" s="181" t="s">
        <v>36</v>
      </c>
      <c r="D8" s="182">
        <f>'Rec.Data System-IN'!R17+'Rec.Data System-IN'!S17</f>
        <v>6955063</v>
      </c>
      <c r="E8" s="182">
        <f>'Rec.Data System-IN'!T17</f>
        <v>0</v>
      </c>
      <c r="F8" s="182">
        <f>'Rec.Data System-IN'!U17</f>
        <v>254000</v>
      </c>
      <c r="G8" s="182">
        <f>'Rec.Data System-IN'!V17</f>
        <v>0</v>
      </c>
      <c r="H8" s="182">
        <f>'Rec.Data System-IN'!W17</f>
        <v>0</v>
      </c>
      <c r="I8" s="182">
        <f>'Rec. Data System-Out'!H125</f>
        <v>0</v>
      </c>
      <c r="J8" s="182">
        <f t="shared" si="24"/>
        <v>7209063</v>
      </c>
    </row>
    <row r="9" ht="15.75">
      <c r="B9" s="180">
        <v>3</v>
      </c>
      <c r="C9" s="183" t="s">
        <v>37</v>
      </c>
      <c r="D9" s="182">
        <f>'Rec.Data System-IN'!R18+'Rec.Data System-IN'!S18</f>
        <v>6771063</v>
      </c>
      <c r="E9" s="182">
        <f>'Rec.Data System-IN'!T18</f>
        <v>0</v>
      </c>
      <c r="F9" s="182">
        <f>'Rec.Data System-IN'!U18</f>
        <v>1318000</v>
      </c>
      <c r="G9" s="182">
        <f>'Rec.Data System-IN'!V18</f>
        <v>0</v>
      </c>
      <c r="H9" s="182">
        <f>'Rec.Data System-IN'!W18</f>
        <v>0</v>
      </c>
      <c r="I9" s="182">
        <f>'Rec. Data System-Out'!H183</f>
        <v>0</v>
      </c>
      <c r="J9" s="182">
        <f t="shared" si="24"/>
        <v>8089063</v>
      </c>
    </row>
    <row r="10" ht="15.75">
      <c r="B10" s="180">
        <v>4</v>
      </c>
      <c r="C10" s="181" t="s">
        <v>186</v>
      </c>
      <c r="D10" s="182">
        <f>'Rec.Data System-IN'!R19+'Rec.Data System-IN'!S19</f>
        <v>9935063</v>
      </c>
      <c r="E10" s="182">
        <f>'Rec.Data System-IN'!T19</f>
        <v>0</v>
      </c>
      <c r="F10" s="182">
        <f>'Rec.Data System-IN'!U19</f>
        <v>972000</v>
      </c>
      <c r="G10" s="182">
        <f>'Rec.Data System-IN'!V19</f>
        <v>0</v>
      </c>
      <c r="H10" s="182">
        <f>'Rec.Data System-IN'!W19</f>
        <v>0</v>
      </c>
      <c r="I10" s="182">
        <f>'Rec. Data System-Out'!H241</f>
        <v>0</v>
      </c>
      <c r="J10" s="182">
        <f t="shared" si="24"/>
        <v>10907063</v>
      </c>
    </row>
    <row r="11" ht="15.75">
      <c r="B11" s="180">
        <v>5</v>
      </c>
      <c r="C11" s="181" t="s">
        <v>40</v>
      </c>
      <c r="D11" s="182">
        <f>'Rec.Data System-IN'!R20+'Rec.Data System-IN'!S20</f>
        <v>4497063</v>
      </c>
      <c r="E11" s="182">
        <f>'Rec.Data System-IN'!T20</f>
        <v>0</v>
      </c>
      <c r="F11" s="182">
        <f>'Rec.Data System-IN'!U20</f>
        <v>322000</v>
      </c>
      <c r="G11" s="182">
        <f>'Rec.Data System-IN'!V20</f>
        <v>0</v>
      </c>
      <c r="H11" s="182">
        <f>'Rec.Data System-IN'!W20</f>
        <v>0</v>
      </c>
      <c r="I11" s="182">
        <f>'Rec. Data System-Out'!H299</f>
        <v>0</v>
      </c>
      <c r="J11" s="182">
        <f t="shared" si="24"/>
        <v>4819063</v>
      </c>
    </row>
    <row r="12" ht="15.75">
      <c r="B12" s="180">
        <v>6</v>
      </c>
      <c r="C12" s="181" t="s">
        <v>187</v>
      </c>
      <c r="D12" s="182">
        <f>'Rec.Data System-IN'!R21+'Rec.Data System-IN'!S21</f>
        <v>0</v>
      </c>
      <c r="E12" s="182">
        <f>'Rec.Data System-IN'!T21</f>
        <v>0</v>
      </c>
      <c r="F12" s="182">
        <f>'Rec.Data System-IN'!U21</f>
        <v>0</v>
      </c>
      <c r="G12" s="182">
        <f>'Rec.Data System-IN'!V21</f>
        <v>0</v>
      </c>
      <c r="H12" s="182">
        <f>'Rec.Data System-IN'!W21</f>
        <v>0</v>
      </c>
      <c r="I12" s="182">
        <f>'Rec. Data System-Out'!H357</f>
        <v>0</v>
      </c>
      <c r="J12" s="182">
        <f t="shared" si="24"/>
        <v>0</v>
      </c>
    </row>
    <row r="13" ht="15.75">
      <c r="B13" s="180">
        <v>7</v>
      </c>
      <c r="C13" s="181" t="s">
        <v>42</v>
      </c>
      <c r="D13" s="182">
        <f>'Rec.Data System-IN'!R22+'Rec.Data System-IN'!S22</f>
        <v>0</v>
      </c>
      <c r="E13" s="182">
        <f>'Rec.Data System-IN'!T22</f>
        <v>0</v>
      </c>
      <c r="F13" s="182">
        <f>'Rec.Data System-IN'!U22</f>
        <v>0</v>
      </c>
      <c r="G13" s="182">
        <f>'Rec.Data System-IN'!V22</f>
        <v>0</v>
      </c>
      <c r="H13" s="182">
        <f>'Rec.Data System-IN'!W22</f>
        <v>0</v>
      </c>
      <c r="I13" s="182">
        <f>'Rec. Data System-Out'!H415</f>
        <v>0</v>
      </c>
      <c r="J13" s="182">
        <f t="shared" si="24"/>
        <v>0</v>
      </c>
    </row>
    <row r="14" ht="15.75">
      <c r="B14" s="180">
        <v>8</v>
      </c>
      <c r="C14" s="181" t="s">
        <v>43</v>
      </c>
      <c r="D14" s="182">
        <f>'Rec.Data System-IN'!R23+'Rec.Data System-IN'!S23</f>
        <v>0</v>
      </c>
      <c r="E14" s="182">
        <f>'Rec.Data System-IN'!T23</f>
        <v>0</v>
      </c>
      <c r="F14" s="182">
        <f>'Rec.Data System-IN'!U23</f>
        <v>0</v>
      </c>
      <c r="G14" s="182">
        <f>'Rec.Data System-IN'!V23</f>
        <v>0</v>
      </c>
      <c r="H14" s="182">
        <f>'Rec.Data System-IN'!W23</f>
        <v>0</v>
      </c>
      <c r="I14" s="182">
        <f>'Rec. Data System-Out'!H473</f>
        <v>0</v>
      </c>
      <c r="J14" s="182">
        <f t="shared" si="24"/>
        <v>0</v>
      </c>
    </row>
    <row r="15" ht="15.75">
      <c r="B15" s="180">
        <v>9</v>
      </c>
      <c r="C15" s="181" t="s">
        <v>44</v>
      </c>
      <c r="D15" s="182">
        <f>'Rec.Data System-IN'!R24+'Rec.Data System-IN'!S24</f>
        <v>0</v>
      </c>
      <c r="E15" s="182">
        <f>'Rec.Data System-IN'!T24</f>
        <v>0</v>
      </c>
      <c r="F15" s="182">
        <f>'Rec.Data System-IN'!U24</f>
        <v>0</v>
      </c>
      <c r="G15" s="182">
        <f>'Rec.Data System-IN'!V24</f>
        <v>0</v>
      </c>
      <c r="H15" s="182">
        <f>'Rec.Data System-IN'!W24</f>
        <v>0</v>
      </c>
      <c r="I15" s="182">
        <f>'Rec. Data System-Out'!H531</f>
        <v>0</v>
      </c>
      <c r="J15" s="182">
        <f t="shared" si="24"/>
        <v>0</v>
      </c>
    </row>
    <row r="16" ht="15.75">
      <c r="B16" s="180">
        <v>10</v>
      </c>
      <c r="C16" s="181" t="s">
        <v>45</v>
      </c>
      <c r="D16" s="182">
        <f>'Rec.Data System-IN'!R25+'Rec.Data System-IN'!S25</f>
        <v>5682632</v>
      </c>
      <c r="E16" s="182">
        <f>'Rec.Data System-IN'!T25</f>
        <v>0</v>
      </c>
      <c r="F16" s="182">
        <f>'Rec.Data System-IN'!U25</f>
        <v>2600000</v>
      </c>
      <c r="G16" s="182">
        <f>'Rec.Data System-IN'!V25</f>
        <v>0</v>
      </c>
      <c r="H16" s="182">
        <f>'Rec.Data System-IN'!W25</f>
        <v>0</v>
      </c>
      <c r="I16" s="182">
        <f>'Rec. Data System-Out'!H589</f>
        <v>0</v>
      </c>
      <c r="J16" s="182">
        <f t="shared" si="24"/>
        <v>8282632</v>
      </c>
    </row>
    <row r="17" ht="15.75">
      <c r="B17" s="180">
        <v>11</v>
      </c>
      <c r="C17" s="181" t="s">
        <v>46</v>
      </c>
      <c r="D17" s="182">
        <f>'Rec.Data System-IN'!R26+'Rec.Data System-IN'!S26</f>
        <v>5691732</v>
      </c>
      <c r="E17" s="182">
        <f>'Rec.Data System-IN'!T26</f>
        <v>0</v>
      </c>
      <c r="F17" s="182">
        <f>'Rec.Data System-IN'!U26</f>
        <v>8700000</v>
      </c>
      <c r="G17" s="182">
        <f>'Rec.Data System-IN'!V26</f>
        <v>0</v>
      </c>
      <c r="H17" s="182">
        <f>'Rec.Data System-IN'!W26</f>
        <v>0</v>
      </c>
      <c r="I17" s="182">
        <f>'Rec. Data System-Out'!H647</f>
        <v>0</v>
      </c>
      <c r="J17" s="182">
        <f t="shared" si="24"/>
        <v>14391732</v>
      </c>
    </row>
    <row r="18" ht="15.75">
      <c r="B18" s="180">
        <v>12</v>
      </c>
      <c r="C18" s="181" t="s">
        <v>47</v>
      </c>
      <c r="D18" s="182">
        <f>'Rec.Data System-IN'!R27+'Rec.Data System-IN'!S27</f>
        <v>7514100</v>
      </c>
      <c r="E18" s="182">
        <f>'Rec.Data System-IN'!T27</f>
        <v>0</v>
      </c>
      <c r="F18" s="182">
        <f>'Rec.Data System-IN'!U27</f>
        <v>1005000</v>
      </c>
      <c r="G18" s="182">
        <f>'Rec.Data System-IN'!V27</f>
        <v>0</v>
      </c>
      <c r="H18" s="182">
        <f>'Rec.Data System-IN'!W27</f>
        <v>0</v>
      </c>
      <c r="I18" s="182">
        <f>'Rec. Data System-Out'!H705</f>
        <v>0</v>
      </c>
      <c r="J18" s="182">
        <f t="shared" si="24"/>
        <v>8519100</v>
      </c>
    </row>
    <row r="19" ht="15.75">
      <c r="B19" s="184"/>
      <c r="C19" s="185" t="s">
        <v>188</v>
      </c>
      <c r="D19" s="186">
        <f t="shared" ref="D19:G19" si="25">SUM(D7:D18)</f>
        <v>55027779</v>
      </c>
      <c r="E19" s="186">
        <f t="shared" si="25"/>
        <v>0</v>
      </c>
      <c r="F19" s="186">
        <f t="shared" si="25"/>
        <v>16277000</v>
      </c>
      <c r="G19" s="186">
        <f t="shared" si="25"/>
        <v>0</v>
      </c>
      <c r="H19" s="186">
        <f>SUM(H7:H18)</f>
        <v>0</v>
      </c>
      <c r="I19" s="187">
        <f>SUM(I7:I18)</f>
        <v>0</v>
      </c>
      <c r="J19" s="188">
        <f>SUM(J7:J18)</f>
        <v>71304779</v>
      </c>
    </row>
    <row r="20" ht="15.75">
      <c r="C20" s="189"/>
      <c r="D20" s="190"/>
      <c r="E20" s="190"/>
      <c r="F20" s="190"/>
      <c r="G20" s="190"/>
      <c r="H20" s="190"/>
      <c r="I20" s="162"/>
      <c r="J20" s="191"/>
    </row>
    <row r="21" ht="15.75">
      <c r="B21" s="192"/>
      <c r="C21" s="193"/>
    </row>
    <row r="22" ht="26.449999999999999" customHeight="1">
      <c r="B22" s="171" t="s">
        <v>189</v>
      </c>
      <c r="C22" s="171"/>
      <c r="D22" s="171"/>
      <c r="E22" s="171"/>
      <c r="F22" s="171"/>
      <c r="G22" s="171"/>
      <c r="H22" s="171"/>
      <c r="I22" s="171"/>
    </row>
    <row r="24" ht="15.75">
      <c r="B24" s="172" t="s">
        <v>9</v>
      </c>
      <c r="C24" s="173" t="s">
        <v>96</v>
      </c>
      <c r="D24" s="174" t="s">
        <v>190</v>
      </c>
      <c r="E24" s="175"/>
      <c r="F24" s="176"/>
      <c r="G24" s="194" t="s">
        <v>191</v>
      </c>
      <c r="H24" s="194" t="s">
        <v>192</v>
      </c>
      <c r="I24" s="173" t="s">
        <v>183</v>
      </c>
    </row>
    <row r="25">
      <c r="B25" s="177"/>
      <c r="C25" s="178"/>
      <c r="D25" s="195" t="s">
        <v>20</v>
      </c>
      <c r="E25" s="195" t="s">
        <v>193</v>
      </c>
      <c r="F25" s="195" t="s">
        <v>194</v>
      </c>
      <c r="G25" s="196"/>
      <c r="H25" s="196"/>
      <c r="I25" s="178"/>
    </row>
    <row r="27" ht="15.75">
      <c r="B27" s="180">
        <v>1</v>
      </c>
      <c r="C27" s="181" t="s">
        <v>185</v>
      </c>
      <c r="D27" s="182">
        <f>'Rec.Data System-IN'!I16</f>
        <v>14692750</v>
      </c>
      <c r="E27" s="182">
        <f>'Rec.Data System-IN'!K16</f>
        <v>3915688</v>
      </c>
      <c r="F27" s="182">
        <f>'Rec.Data System-IN'!M16</f>
        <v>25000</v>
      </c>
      <c r="G27" s="182">
        <f t="shared" ref="G27:G38" si="26">D27+E27+F27</f>
        <v>18633438</v>
      </c>
      <c r="H27" s="182">
        <f>'Rec.Data System-IN'!Q16</f>
        <v>18633438</v>
      </c>
      <c r="I27" s="182">
        <f t="shared" ref="I27:I38" si="27">G27-H27</f>
        <v>0</v>
      </c>
    </row>
    <row r="28" ht="15.75">
      <c r="B28" s="180">
        <v>2</v>
      </c>
      <c r="C28" s="181" t="s">
        <v>36</v>
      </c>
      <c r="D28" s="182">
        <f>'Rec.Data System-IN'!I17</f>
        <v>17061750</v>
      </c>
      <c r="E28" s="182">
        <f>'Rec.Data System-IN'!K17</f>
        <v>5787688</v>
      </c>
      <c r="F28" s="182">
        <f>'Rec.Data System-IN'!M17</f>
        <v>75000</v>
      </c>
      <c r="G28" s="182">
        <f t="shared" si="26"/>
        <v>22924438</v>
      </c>
      <c r="H28" s="182">
        <f>'Rec.Data System-IN'!Q17</f>
        <v>22924438</v>
      </c>
      <c r="I28" s="182">
        <f t="shared" si="27"/>
        <v>0</v>
      </c>
    </row>
    <row r="29" ht="15.75">
      <c r="B29" s="180">
        <v>3</v>
      </c>
      <c r="C29" s="183" t="s">
        <v>37</v>
      </c>
      <c r="D29" s="182">
        <f>'Rec.Data System-IN'!I18</f>
        <v>13717750</v>
      </c>
      <c r="E29" s="182">
        <f>'Rec.Data System-IN'!K18</f>
        <v>3622688</v>
      </c>
      <c r="F29" s="182">
        <f>'Rec.Data System-IN'!M18</f>
        <v>25000</v>
      </c>
      <c r="G29" s="182">
        <f t="shared" si="26"/>
        <v>17365438</v>
      </c>
      <c r="H29" s="182">
        <f>'Rec.Data System-IN'!Q18</f>
        <v>17365438</v>
      </c>
      <c r="I29" s="182">
        <f t="shared" si="27"/>
        <v>0</v>
      </c>
    </row>
    <row r="30" ht="15.75">
      <c r="B30" s="180">
        <v>4</v>
      </c>
      <c r="C30" s="181" t="s">
        <v>186</v>
      </c>
      <c r="D30" s="182">
        <f>'Rec.Data System-IN'!I19</f>
        <v>22421750</v>
      </c>
      <c r="E30" s="182">
        <f>'Rec.Data System-IN'!K19</f>
        <v>5583688</v>
      </c>
      <c r="F30" s="182">
        <f>'Rec.Data System-IN'!M19</f>
        <v>25000</v>
      </c>
      <c r="G30" s="182">
        <f t="shared" si="26"/>
        <v>28030438</v>
      </c>
      <c r="H30" s="182">
        <f>'Rec.Data System-IN'!Q19</f>
        <v>28030438</v>
      </c>
      <c r="I30" s="182">
        <f t="shared" si="27"/>
        <v>0</v>
      </c>
    </row>
    <row r="31" ht="15.75">
      <c r="B31" s="180">
        <v>5</v>
      </c>
      <c r="C31" s="181" t="s">
        <v>40</v>
      </c>
      <c r="D31" s="182">
        <f>'Rec.Data System-IN'!I20</f>
        <v>16064750</v>
      </c>
      <c r="E31" s="182">
        <f>'Rec.Data System-IN'!K20</f>
        <v>3044688</v>
      </c>
      <c r="F31" s="182">
        <f>'Rec.Data System-IN'!M20</f>
        <v>25000</v>
      </c>
      <c r="G31" s="182">
        <f t="shared" si="26"/>
        <v>19134438</v>
      </c>
      <c r="H31" s="182">
        <f>'Rec.Data System-IN'!Q20</f>
        <v>19134438</v>
      </c>
      <c r="I31" s="182">
        <f t="shared" si="27"/>
        <v>0</v>
      </c>
    </row>
    <row r="32" ht="15.75">
      <c r="B32" s="180">
        <v>6</v>
      </c>
      <c r="C32" s="181" t="s">
        <v>187</v>
      </c>
      <c r="D32" s="182">
        <f>'Rec.Data System-IN'!I21</f>
        <v>18500386</v>
      </c>
      <c r="E32" s="182">
        <f>'Rec.Data System-IN'!K21</f>
        <v>0</v>
      </c>
      <c r="F32" s="182">
        <f>'Rec.Data System-IN'!M21</f>
        <v>0</v>
      </c>
      <c r="G32" s="182">
        <f t="shared" si="26"/>
        <v>18500386</v>
      </c>
      <c r="H32" s="182">
        <f>'Rec.Data System-IN'!Q21</f>
        <v>18500386</v>
      </c>
      <c r="I32" s="182">
        <f t="shared" si="27"/>
        <v>0</v>
      </c>
    </row>
    <row r="33" ht="15.75">
      <c r="B33" s="180">
        <v>7</v>
      </c>
      <c r="C33" s="181" t="s">
        <v>42</v>
      </c>
      <c r="D33" s="182">
        <f>'Rec.Data System-IN'!I22</f>
        <v>20857126</v>
      </c>
      <c r="E33" s="182">
        <f>'Rec.Data System-IN'!K22</f>
        <v>0</v>
      </c>
      <c r="F33" s="182">
        <f>'Rec.Data System-IN'!M22</f>
        <v>0</v>
      </c>
      <c r="G33" s="182">
        <f t="shared" si="26"/>
        <v>20857126</v>
      </c>
      <c r="H33" s="182">
        <f>'Rec.Data System-IN'!Q22</f>
        <v>20857126</v>
      </c>
      <c r="I33" s="182">
        <f t="shared" si="27"/>
        <v>0</v>
      </c>
    </row>
    <row r="34" ht="15.75">
      <c r="B34" s="180">
        <v>8</v>
      </c>
      <c r="C34" s="181" t="s">
        <v>43</v>
      </c>
      <c r="D34" s="182">
        <f>'Rec.Data System-IN'!I23</f>
        <v>28834538</v>
      </c>
      <c r="E34" s="182">
        <f>'Rec.Data System-IN'!K23</f>
        <v>0</v>
      </c>
      <c r="F34" s="182">
        <f>'Rec.Data System-IN'!M23</f>
        <v>0</v>
      </c>
      <c r="G34" s="182">
        <f t="shared" si="26"/>
        <v>28834538</v>
      </c>
      <c r="H34" s="182">
        <f>'Rec.Data System-IN'!Q23</f>
        <v>28834538</v>
      </c>
      <c r="I34" s="182">
        <f t="shared" si="27"/>
        <v>0</v>
      </c>
    </row>
    <row r="35" ht="15.75">
      <c r="B35" s="180">
        <v>9</v>
      </c>
      <c r="C35" s="181" t="s">
        <v>44</v>
      </c>
      <c r="D35" s="182">
        <f>'Rec.Data System-IN'!I24</f>
        <v>20379486</v>
      </c>
      <c r="E35" s="182">
        <f>'Rec.Data System-IN'!K24</f>
        <v>0</v>
      </c>
      <c r="F35" s="182">
        <f>'Rec.Data System-IN'!M24</f>
        <v>0</v>
      </c>
      <c r="G35" s="182">
        <f t="shared" si="26"/>
        <v>20379486</v>
      </c>
      <c r="H35" s="182">
        <f>'Rec.Data System-IN'!Q24</f>
        <v>20379486</v>
      </c>
      <c r="I35" s="182">
        <f t="shared" si="27"/>
        <v>0</v>
      </c>
    </row>
    <row r="36" ht="15.75">
      <c r="B36" s="180">
        <v>10</v>
      </c>
      <c r="C36" s="181" t="s">
        <v>45</v>
      </c>
      <c r="D36" s="182">
        <f>'Rec.Data System-IN'!I25</f>
        <v>43630748</v>
      </c>
      <c r="E36" s="182">
        <f>'Rec.Data System-IN'!K25</f>
        <v>3986257</v>
      </c>
      <c r="F36" s="182">
        <f>'Rec.Data System-IN'!M25</f>
        <v>25000</v>
      </c>
      <c r="G36" s="182">
        <f t="shared" si="26"/>
        <v>47642005</v>
      </c>
      <c r="H36" s="182">
        <f>'Rec.Data System-IN'!Q25</f>
        <v>47642005</v>
      </c>
      <c r="I36" s="182">
        <f t="shared" si="27"/>
        <v>0</v>
      </c>
    </row>
    <row r="37" ht="15.75">
      <c r="B37" s="180">
        <v>11</v>
      </c>
      <c r="C37" s="181" t="s">
        <v>46</v>
      </c>
      <c r="D37" s="182">
        <f>'Rec.Data System-IN'!I26</f>
        <v>15183423</v>
      </c>
      <c r="E37" s="182">
        <f>'Rec.Data System-IN'!K26</f>
        <v>4099577</v>
      </c>
      <c r="F37" s="182">
        <f>'Rec.Data System-IN'!M26</f>
        <v>25000</v>
      </c>
      <c r="G37" s="182">
        <f t="shared" si="26"/>
        <v>19308000</v>
      </c>
      <c r="H37" s="182">
        <f>'Rec.Data System-IN'!Q26</f>
        <v>19308000</v>
      </c>
      <c r="I37" s="182">
        <f t="shared" si="27"/>
        <v>0</v>
      </c>
    </row>
    <row r="38" ht="15.75">
      <c r="B38" s="180">
        <v>12</v>
      </c>
      <c r="C38" s="181" t="s">
        <v>47</v>
      </c>
      <c r="D38" s="182">
        <f>'Rec.Data System-IN'!I27</f>
        <v>16651598</v>
      </c>
      <c r="E38" s="182">
        <f>'Rec.Data System-IN'!K27</f>
        <v>4524300</v>
      </c>
      <c r="F38" s="182">
        <f>'Rec.Data System-IN'!M27</f>
        <v>50000</v>
      </c>
      <c r="G38" s="182">
        <f t="shared" si="26"/>
        <v>21225898</v>
      </c>
      <c r="H38" s="182">
        <f>'Rec.Data System-IN'!Q27</f>
        <v>21225898</v>
      </c>
      <c r="I38" s="182">
        <f t="shared" si="27"/>
        <v>0</v>
      </c>
    </row>
    <row r="39" ht="15.75">
      <c r="B39" s="184"/>
      <c r="C39" s="185" t="s">
        <v>195</v>
      </c>
      <c r="D39" s="197">
        <f t="shared" ref="D39:I39" si="28">SUM(D27:D38)</f>
        <v>247996055</v>
      </c>
      <c r="E39" s="197">
        <f t="shared" si="28"/>
        <v>34564574</v>
      </c>
      <c r="F39" s="197">
        <f t="shared" si="28"/>
        <v>275000</v>
      </c>
      <c r="G39" s="187">
        <f t="shared" si="28"/>
        <v>282835629</v>
      </c>
      <c r="H39" s="187">
        <f t="shared" si="28"/>
        <v>282835629</v>
      </c>
      <c r="I39" s="170">
        <f t="shared" si="28"/>
        <v>0</v>
      </c>
    </row>
  </sheetData>
  <mergeCells count="13">
    <mergeCell ref="B2:J2"/>
    <mergeCell ref="B22:I22"/>
    <mergeCell ref="J4:J5"/>
    <mergeCell ref="D4:H4"/>
    <mergeCell ref="B24:B25"/>
    <mergeCell ref="C24:C25"/>
    <mergeCell ref="D24:F24"/>
    <mergeCell ref="G24:G25"/>
    <mergeCell ref="H24:H25"/>
    <mergeCell ref="I24:I25"/>
    <mergeCell ref="B4:B5"/>
    <mergeCell ref="C4:C5"/>
    <mergeCell ref="I4:I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F17" activeCellId="0" sqref="F17:G17"/>
    </sheetView>
  </sheetViews>
  <sheetFormatPr defaultRowHeight="15"/>
  <cols>
    <col customWidth="1" min="1" max="1" width="3.85546875"/>
    <col customWidth="1" min="2" max="2" style="168" width="6.42578125"/>
    <col customWidth="1" min="3" max="3" width="147.5703125"/>
  </cols>
  <sheetData>
    <row r="1">
      <c r="B1" s="165"/>
    </row>
    <row r="2" ht="25.149999999999999" customHeight="1">
      <c r="B2" s="198" t="s">
        <v>196</v>
      </c>
      <c r="C2" s="199"/>
    </row>
    <row r="3" ht="28.5">
      <c r="B3" s="200" t="s">
        <v>197</v>
      </c>
      <c r="C3" s="201"/>
    </row>
    <row r="4">
      <c r="B4" s="202"/>
      <c r="C4" s="203"/>
    </row>
    <row r="5">
      <c r="B5" s="202"/>
      <c r="C5" s="204"/>
    </row>
    <row r="6">
      <c r="B6" s="202"/>
      <c r="C6" s="204"/>
    </row>
    <row r="7">
      <c r="B7" s="202"/>
      <c r="C7" s="204"/>
    </row>
    <row r="8">
      <c r="B8" s="202">
        <v>1</v>
      </c>
      <c r="C8" s="204" t="s">
        <v>198</v>
      </c>
    </row>
    <row r="9">
      <c r="B9" s="202"/>
      <c r="C9" s="204" t="s">
        <v>199</v>
      </c>
    </row>
    <row r="10">
      <c r="B10" s="202"/>
      <c r="C10" s="204" t="s">
        <v>200</v>
      </c>
    </row>
    <row r="11">
      <c r="B11" s="202"/>
      <c r="C11" s="204" t="s">
        <v>201</v>
      </c>
    </row>
    <row r="12">
      <c r="B12" s="202"/>
      <c r="C12" s="204"/>
    </row>
    <row r="13">
      <c r="B13" s="202"/>
      <c r="C13" s="204" t="s">
        <v>202</v>
      </c>
    </row>
    <row r="14">
      <c r="B14" s="202"/>
      <c r="C14" s="204" t="s">
        <v>203</v>
      </c>
    </row>
    <row r="15">
      <c r="B15" s="202"/>
      <c r="C15" s="204"/>
    </row>
    <row r="16">
      <c r="B16" s="202">
        <f>B8+1</f>
        <v>2</v>
      </c>
      <c r="C16" s="204" t="s">
        <v>204</v>
      </c>
    </row>
    <row r="17">
      <c r="B17" s="202"/>
      <c r="C17" s="204" t="s">
        <v>205</v>
      </c>
    </row>
    <row r="18">
      <c r="B18" s="202"/>
      <c r="C18" s="204"/>
    </row>
    <row r="19">
      <c r="B19" s="202">
        <f>B16+1</f>
        <v>3</v>
      </c>
      <c r="C19" s="204" t="s">
        <v>206</v>
      </c>
    </row>
    <row r="20">
      <c r="B20" s="202"/>
      <c r="C20" s="204" t="s">
        <v>207</v>
      </c>
    </row>
    <row r="21">
      <c r="B21" s="202"/>
      <c r="C21" s="204"/>
    </row>
    <row r="22">
      <c r="B22" s="202">
        <f>B19+1</f>
        <v>4</v>
      </c>
      <c r="C22" s="204" t="s">
        <v>208</v>
      </c>
    </row>
    <row r="23">
      <c r="B23" s="202"/>
      <c r="C23" s="204"/>
    </row>
    <row r="24">
      <c r="B24" s="202">
        <f>B22+1</f>
        <v>5</v>
      </c>
      <c r="C24" s="204" t="s">
        <v>209</v>
      </c>
    </row>
    <row r="25">
      <c r="B25" s="202"/>
      <c r="C25" s="204"/>
    </row>
    <row r="26">
      <c r="B26" s="202">
        <f>B24+1</f>
        <v>6</v>
      </c>
      <c r="C26" s="204" t="s">
        <v>210</v>
      </c>
    </row>
    <row r="27">
      <c r="B27" s="202"/>
      <c r="C27" s="204"/>
    </row>
    <row r="28">
      <c r="B28" s="202">
        <f>B26+1</f>
        <v>7</v>
      </c>
      <c r="C28" s="204" t="s">
        <v>211</v>
      </c>
    </row>
    <row r="29">
      <c r="B29" s="202"/>
      <c r="C29" s="204" t="s">
        <v>212</v>
      </c>
    </row>
    <row r="30">
      <c r="B30" s="202"/>
      <c r="C30" s="204"/>
    </row>
    <row r="31">
      <c r="B31" s="202">
        <f>B28+1</f>
        <v>8</v>
      </c>
      <c r="C31" s="204" t="s">
        <v>213</v>
      </c>
    </row>
    <row r="32">
      <c r="B32" s="202"/>
      <c r="C32" s="204" t="s">
        <v>214</v>
      </c>
    </row>
    <row r="33">
      <c r="B33" s="202"/>
      <c r="C33" s="204"/>
    </row>
    <row r="34">
      <c r="B34" s="202"/>
      <c r="C34" s="204"/>
    </row>
    <row r="35">
      <c r="B35" s="202"/>
      <c r="C35" s="204"/>
    </row>
    <row r="36">
      <c r="B36" s="202"/>
      <c r="C36" s="204"/>
    </row>
    <row r="37">
      <c r="B37" s="202"/>
      <c r="C37" s="203"/>
    </row>
    <row r="38">
      <c r="B38" s="202"/>
      <c r="C38" s="204"/>
    </row>
    <row r="39">
      <c r="B39" s="202"/>
      <c r="C39" s="205" t="s">
        <v>215</v>
      </c>
    </row>
    <row r="40">
      <c r="B40" s="202"/>
      <c r="C40" s="206" t="s">
        <v>216</v>
      </c>
    </row>
    <row r="41">
      <c r="B41" s="202"/>
      <c r="C41" s="203"/>
    </row>
    <row r="42">
      <c r="B42" s="207"/>
      <c r="C42" s="208"/>
    </row>
  </sheetData>
  <mergeCells count="2">
    <mergeCell ref="B2:C2"/>
    <mergeCell ref="B3:C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60" verticalDpi="36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Hewlett-Packard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Admin GMAHK</cp:lastModifiedBy>
  <cp:revision>1</cp:revision>
  <dcterms:created xsi:type="dcterms:W3CDTF">2020-10-27T05:42:47Z</dcterms:created>
  <dcterms:modified xsi:type="dcterms:W3CDTF">2026-07-13T04:50:53Z</dcterms:modified>
</cp:coreProperties>
</file>